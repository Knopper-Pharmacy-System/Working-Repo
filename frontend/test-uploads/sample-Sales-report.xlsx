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B234D94-63D1-44AB-82BF-36C12DD57A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4" sheetId="4" state="hidden" r:id="rId2"/>
    <sheet name="Sheet3" sheetId="3" state="hidden" r:id="rId3"/>
    <sheet name="Sheet2" sheetId="2" r:id="rId4"/>
  </sheets>
  <definedNames>
    <definedName name="_xlnm._FilterDatabase" localSheetId="0" hidden="1">Sheet1!$A$8:$R$8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2" l="1"/>
  <c r="D5" i="2" l="1"/>
  <c r="D6" i="2"/>
  <c r="C5" i="2"/>
  <c r="C6" i="2"/>
  <c r="F6" i="2" l="1"/>
  <c r="F5" i="2"/>
  <c r="K5" i="2" l="1"/>
  <c r="H5" i="2"/>
</calcChain>
</file>

<file path=xl/sharedStrings.xml><?xml version="1.0" encoding="utf-8"?>
<sst xmlns="http://schemas.openxmlformats.org/spreadsheetml/2006/main" count="1283" uniqueCount="471">
  <si>
    <t>DOMINO PHARMA</t>
  </si>
  <si>
    <t>DOOR 11 &amp; 12 PAVILLION 7</t>
  </si>
  <si>
    <t>ITEMS SALES BY CASHIER TRANSACTION REPORT</t>
  </si>
  <si>
    <t>TIME</t>
  </si>
  <si>
    <t>TRX NO.</t>
  </si>
  <si>
    <t>INVOICE/O.R.#</t>
  </si>
  <si>
    <t>ITEM CODE</t>
  </si>
  <si>
    <t>DESCRIPTION</t>
  </si>
  <si>
    <t>SELLING PRICE</t>
  </si>
  <si>
    <t>PRICE LEVEL</t>
  </si>
  <si>
    <t>QTY SOLD</t>
  </si>
  <si>
    <t>PRICE SOLD</t>
  </si>
  <si>
    <t>GROSS SALES</t>
  </si>
  <si>
    <t>GROSS COST</t>
  </si>
  <si>
    <t>DISCOUNT %</t>
  </si>
  <si>
    <t>DISCOUNT AMT.</t>
  </si>
  <si>
    <t>NET PROFIT</t>
  </si>
  <si>
    <t>DISCOUNT TAG</t>
  </si>
  <si>
    <t>PRICE 1</t>
  </si>
  <si>
    <t>SC/PWD DISC</t>
  </si>
  <si>
    <t>320540</t>
  </si>
  <si>
    <t>CALCI-PLUS 600 TAB</t>
  </si>
  <si>
    <t>TOTAL</t>
  </si>
  <si>
    <t>PRICE 8</t>
  </si>
  <si>
    <t>200600003004</t>
  </si>
  <si>
    <t>GAUZE PD 4X4 1S</t>
  </si>
  <si>
    <t>320136</t>
  </si>
  <si>
    <t>HEPLOCK</t>
  </si>
  <si>
    <t>2WING0001001</t>
  </si>
  <si>
    <t>CIPRO CYFROX 500MG TAB</t>
  </si>
  <si>
    <t>4806523246866</t>
  </si>
  <si>
    <t>PREGNANCY TEST</t>
  </si>
  <si>
    <t>PRICE 2</t>
  </si>
  <si>
    <t>4800014147083</t>
  </si>
  <si>
    <t>ABSOLUTE 350ML</t>
  </si>
  <si>
    <t>4806524142303</t>
  </si>
  <si>
    <t>FACE MASK PC</t>
  </si>
  <si>
    <t>STERILE H20 50ML(EUROMED)</t>
  </si>
  <si>
    <t>DISUDRIN DROPS 10ML</t>
  </si>
  <si>
    <t>CO-AMOX RANICLAV 625MG TAB</t>
  </si>
  <si>
    <t>GAUZE PD 4X4 5S</t>
  </si>
  <si>
    <t>FREE - CALCI-PLUS</t>
  </si>
  <si>
    <t>NEOZEP FORTE Z+ TAB</t>
  </si>
  <si>
    <t>MUPI NOBACRIN OINT 5G</t>
  </si>
  <si>
    <t>CLEAN GLOVES L-NITRILE PAIR</t>
  </si>
  <si>
    <t>TEGADERM 2"X2"</t>
  </si>
  <si>
    <t>REACH BIG TVL PK 2P 70P</t>
  </si>
  <si>
    <t>VIVALYTE DRINK APPLE 250ML</t>
  </si>
  <si>
    <t>201510001017</t>
  </si>
  <si>
    <t>200350008001</t>
  </si>
  <si>
    <t>201510003028</t>
  </si>
  <si>
    <t>4807788530875</t>
  </si>
  <si>
    <t>4807788712448</t>
  </si>
  <si>
    <t>4806524140897</t>
  </si>
  <si>
    <t>4806519386224</t>
  </si>
  <si>
    <t>201190003002</t>
  </si>
  <si>
    <t>4800573117053</t>
  </si>
  <si>
    <t>4806502161463</t>
  </si>
  <si>
    <t>4800046000738</t>
  </si>
  <si>
    <t>203620005003</t>
  </si>
  <si>
    <t>D-ALPHA NOVA-E 400IU CAP</t>
  </si>
  <si>
    <t>8903726281932</t>
  </si>
  <si>
    <t>LEVE LEPIXA 500MG TAB</t>
  </si>
  <si>
    <t>sales staff</t>
  </si>
  <si>
    <t>4806517791006</t>
  </si>
  <si>
    <t>SEVE NEFRAL 800MG TAB</t>
  </si>
  <si>
    <t>4806530871167</t>
  </si>
  <si>
    <t>10CC SYRINGE.</t>
  </si>
  <si>
    <t>4806517790405</t>
  </si>
  <si>
    <t>LOSARTAN KENZAR 100MG TAB</t>
  </si>
  <si>
    <t>4806517790276</t>
  </si>
  <si>
    <t>ATOR ITORVAZ 40MG TAB</t>
  </si>
  <si>
    <t>200300002018</t>
  </si>
  <si>
    <t>FEBU FEBUMAX 40MG TAB</t>
  </si>
  <si>
    <t>203790002014</t>
  </si>
  <si>
    <t>TELMI GLOSARTAN 40MG TAB</t>
  </si>
  <si>
    <t>300276</t>
  </si>
  <si>
    <t>NAPRO FLANAX FORTE 550MG TAB.</t>
  </si>
  <si>
    <t>4806525870953</t>
  </si>
  <si>
    <t>IRON SUC IROMAX 100MG/5ML AMP</t>
  </si>
  <si>
    <t>4800573008023</t>
  </si>
  <si>
    <t>PNSS 500ML (EURO-MED)</t>
  </si>
  <si>
    <t>100730</t>
  </si>
  <si>
    <t>MICROPORE 1"(3M)</t>
  </si>
  <si>
    <t>4806519386880</t>
  </si>
  <si>
    <t>LOS STARLO 50MG TAB</t>
  </si>
  <si>
    <t>4806539570245</t>
  </si>
  <si>
    <t>CLOPI CLOPINOVA 75MG TAB</t>
  </si>
  <si>
    <t>8944163810255</t>
  </si>
  <si>
    <t>OMEP INHIBITA 40MG CAP</t>
  </si>
  <si>
    <t>4800573055195</t>
  </si>
  <si>
    <t>HIVENT PLUS NEB</t>
  </si>
  <si>
    <t>201190001051</t>
  </si>
  <si>
    <t>SURGICAL GLOVES 6.5</t>
  </si>
  <si>
    <t>102055</t>
  </si>
  <si>
    <t>FIXCOM 4 TAB</t>
  </si>
  <si>
    <t>4806524149630</t>
  </si>
  <si>
    <t>KETOREX TAB</t>
  </si>
  <si>
    <t>8906046003833</t>
  </si>
  <si>
    <t>TAMSU URITAM 400MCG TAB</t>
  </si>
  <si>
    <t>4806517790542</t>
  </si>
  <si>
    <t>AMLO+L VEZTENOR 5MG/50MG TAB</t>
  </si>
  <si>
    <t>4800014700004</t>
  </si>
  <si>
    <t>ABSOLUTE 6L.</t>
  </si>
  <si>
    <t>100469</t>
  </si>
  <si>
    <t>MECLI BONAMINE 25MG TAB</t>
  </si>
  <si>
    <t>4806524141412</t>
  </si>
  <si>
    <t>IV CANNULA G. 22</t>
  </si>
  <si>
    <t>4806517790283</t>
  </si>
  <si>
    <t>ATOR ITORVAZ 80MG TAB</t>
  </si>
  <si>
    <t>4806524780802</t>
  </si>
  <si>
    <t>FINAS FINSTAL 5MG TAB</t>
  </si>
  <si>
    <t>8906065310011</t>
  </si>
  <si>
    <t>SITAG SI2NORM 50MG TAB</t>
  </si>
  <si>
    <t>4807788530882</t>
  </si>
  <si>
    <t>DISUDRIN SYR 60ML.</t>
  </si>
  <si>
    <t>102441</t>
  </si>
  <si>
    <t>ALAXAN FR CAP</t>
  </si>
  <si>
    <t>4800014144082</t>
  </si>
  <si>
    <t>ABSOLUTE 500ML</t>
  </si>
  <si>
    <t>4806527193456</t>
  </si>
  <si>
    <t>ATOR VAZI2R 80MG TAB</t>
  </si>
  <si>
    <t>4806037104744</t>
  </si>
  <si>
    <t>ISMN ISOLYTE 30MG TAB</t>
  </si>
  <si>
    <t>8904182011613</t>
  </si>
  <si>
    <t>GLIME DIANOV 2MG TAB</t>
  </si>
  <si>
    <t>4806527091776</t>
  </si>
  <si>
    <t>DEXME PREDEX 200MCG/2ML AMP</t>
  </si>
  <si>
    <t>399684</t>
  </si>
  <si>
    <t>ASPIRIN SAPHRIN 80MG TAB.</t>
  </si>
  <si>
    <t>4806519387375</t>
  </si>
  <si>
    <t>MICROPORE 1" (HEXACARE)</t>
  </si>
  <si>
    <t>201910001115</t>
  </si>
  <si>
    <t>ELASTIC BAND 10X4.5(SURE GUARD)</t>
  </si>
  <si>
    <t>14800286242110</t>
  </si>
  <si>
    <t>ISOX DUVADILAN 10MG TAB</t>
  </si>
  <si>
    <t>01/13/2026 - ANGELA P.</t>
  </si>
  <si>
    <t>0000192755</t>
  </si>
  <si>
    <t>0000179725</t>
  </si>
  <si>
    <t>0000192756</t>
  </si>
  <si>
    <t>0000179726</t>
  </si>
  <si>
    <t>8935236000734</t>
  </si>
  <si>
    <t>COLGATE SPR FLEXI BLACK</t>
  </si>
  <si>
    <t>8850006325230</t>
  </si>
  <si>
    <t>COLGATE CL MNTHOL 20G.</t>
  </si>
  <si>
    <t>0000192757</t>
  </si>
  <si>
    <t>0000179727</t>
  </si>
  <si>
    <t>0000192758</t>
  </si>
  <si>
    <t>0000179728</t>
  </si>
  <si>
    <t>202890003005</t>
  </si>
  <si>
    <t>COMMODE CHAIR W/ FOAM CHAIR</t>
  </si>
  <si>
    <t>0000192760</t>
  </si>
  <si>
    <t>0000179729</t>
  </si>
  <si>
    <t>0000192762</t>
  </si>
  <si>
    <t>0000179730</t>
  </si>
  <si>
    <t>4800489118281</t>
  </si>
  <si>
    <t>SITAG+MET VELMETIA 50MG/500MG TAB</t>
  </si>
  <si>
    <t>205000002018</t>
  </si>
  <si>
    <t>GLICLA GLIFRED MR 30MG TAB</t>
  </si>
  <si>
    <t>0000192763</t>
  </si>
  <si>
    <t>0000179731</t>
  </si>
  <si>
    <t>4806506318894</t>
  </si>
  <si>
    <t>SSTRS DY MAX 12'S SULIT PACK</t>
  </si>
  <si>
    <t>0000192764</t>
  </si>
  <si>
    <t>0000179732</t>
  </si>
  <si>
    <t>0000192765</t>
  </si>
  <si>
    <t>0000179733</t>
  </si>
  <si>
    <t>96136140</t>
  </si>
  <si>
    <t>GAVISCON DOUBLE ACT 10ML</t>
  </si>
  <si>
    <t>0000192766</t>
  </si>
  <si>
    <t>0000179734</t>
  </si>
  <si>
    <t>0000192767</t>
  </si>
  <si>
    <t>0000179735</t>
  </si>
  <si>
    <t>0000192769</t>
  </si>
  <si>
    <t>0000179736</t>
  </si>
  <si>
    <t>0000192770</t>
  </si>
  <si>
    <t>0000179737</t>
  </si>
  <si>
    <t>0000192771</t>
  </si>
  <si>
    <t>0000179738</t>
  </si>
  <si>
    <t>0000192772</t>
  </si>
  <si>
    <t>0000179739</t>
  </si>
  <si>
    <t>0000192773</t>
  </si>
  <si>
    <t>0000179740</t>
  </si>
  <si>
    <t>4809015596104</t>
  </si>
  <si>
    <t>CEFE NEUPIME 1G VIAL</t>
  </si>
  <si>
    <t>01/13/2026 - ANGELA P._1</t>
  </si>
  <si>
    <t>0000192778</t>
  </si>
  <si>
    <t>0000179745</t>
  </si>
  <si>
    <t>0000192784</t>
  </si>
  <si>
    <t>0000179748</t>
  </si>
  <si>
    <t>0000192793</t>
  </si>
  <si>
    <t>0000179758</t>
  </si>
  <si>
    <t>8904179017086</t>
  </si>
  <si>
    <t>TRIME ANGIOGEN 35MG TAB</t>
  </si>
  <si>
    <t>100491</t>
  </si>
  <si>
    <t>LOSARTAN NATRAZOL 100MG TAB</t>
  </si>
  <si>
    <t>0000192795</t>
  </si>
  <si>
    <t>0000179759</t>
  </si>
  <si>
    <t>0000192804</t>
  </si>
  <si>
    <t>0000179769</t>
  </si>
  <si>
    <t>0000192775</t>
  </si>
  <si>
    <t>0000179741</t>
  </si>
  <si>
    <t>0000192776</t>
  </si>
  <si>
    <t>0000179742</t>
  </si>
  <si>
    <t>0000192777</t>
  </si>
  <si>
    <t>0000179743</t>
  </si>
  <si>
    <t>8908001208888</t>
  </si>
  <si>
    <t>LACTU LACTOKHRIZ 3.35G/5ML 60ML</t>
  </si>
  <si>
    <t>0000192780</t>
  </si>
  <si>
    <t>0000179744</t>
  </si>
  <si>
    <t>0000192782</t>
  </si>
  <si>
    <t>0000179746</t>
  </si>
  <si>
    <t>0000192783</t>
  </si>
  <si>
    <t>0000179747</t>
  </si>
  <si>
    <t>6920557238456</t>
  </si>
  <si>
    <t>GENTA GENTAM 80MG/2ML AMP</t>
  </si>
  <si>
    <t>4809015212363</t>
  </si>
  <si>
    <t>CLINDAVEST 300MG/2ML AMP</t>
  </si>
  <si>
    <t>0000192785</t>
  </si>
  <si>
    <t>0000179749</t>
  </si>
  <si>
    <t>201190001038</t>
  </si>
  <si>
    <t>MEASURING CUP 30CC</t>
  </si>
  <si>
    <t>0000192786</t>
  </si>
  <si>
    <t>0000179750</t>
  </si>
  <si>
    <t>4807788519238</t>
  </si>
  <si>
    <t>CEELIN 250ML</t>
  </si>
  <si>
    <t>0000192787</t>
  </si>
  <si>
    <t>0000179751</t>
  </si>
  <si>
    <t>200670002018</t>
  </si>
  <si>
    <t>CLOPI COPIDE 75MG TAB</t>
  </si>
  <si>
    <t>8906143081413</t>
  </si>
  <si>
    <t>SITAG SITAGLI-50 50MG TAB</t>
  </si>
  <si>
    <t>4809015705865</t>
  </si>
  <si>
    <t>KETOMIRIN TAB</t>
  </si>
  <si>
    <t>0000192788</t>
  </si>
  <si>
    <t>0000179752</t>
  </si>
  <si>
    <t>0000192789</t>
  </si>
  <si>
    <t>0000179753</t>
  </si>
  <si>
    <t>0000192790</t>
  </si>
  <si>
    <t>0000179754</t>
  </si>
  <si>
    <t>0000192791</t>
  </si>
  <si>
    <t>0000179755</t>
  </si>
  <si>
    <t>200560003001</t>
  </si>
  <si>
    <t>MICROCLAVE CONN 50.251H(TUTA)</t>
  </si>
  <si>
    <t>0000192792</t>
  </si>
  <si>
    <t>0000179756</t>
  </si>
  <si>
    <t>0000192794</t>
  </si>
  <si>
    <t>0000179757</t>
  </si>
  <si>
    <t>0000192796</t>
  </si>
  <si>
    <t>0000179760</t>
  </si>
  <si>
    <t>0000192797</t>
  </si>
  <si>
    <t>0000179761</t>
  </si>
  <si>
    <t>102463</t>
  </si>
  <si>
    <t>ASPIRIN SCHEEPRIN 80MG TAB</t>
  </si>
  <si>
    <t>0000192798</t>
  </si>
  <si>
    <t>0000179762</t>
  </si>
  <si>
    <t>0000192799</t>
  </si>
  <si>
    <t>0000179763</t>
  </si>
  <si>
    <t>0000192800</t>
  </si>
  <si>
    <t>0000179764</t>
  </si>
  <si>
    <t>0000192801</t>
  </si>
  <si>
    <t>0000179765</t>
  </si>
  <si>
    <t>4800016052057</t>
  </si>
  <si>
    <t>C2 CL&amp;CLN TEA LEMON 355ML</t>
  </si>
  <si>
    <t>0000192802</t>
  </si>
  <si>
    <t>0000179766</t>
  </si>
  <si>
    <t>0000192803</t>
  </si>
  <si>
    <t>0000179767</t>
  </si>
  <si>
    <t>0000192805</t>
  </si>
  <si>
    <t>0000179768</t>
  </si>
  <si>
    <t>502610</t>
  </si>
  <si>
    <t>DROPPER</t>
  </si>
  <si>
    <t>Grand Total</t>
  </si>
  <si>
    <t>0000192755 Total</t>
  </si>
  <si>
    <t>0000192756 Total</t>
  </si>
  <si>
    <t>0000192757 Total</t>
  </si>
  <si>
    <t>0000192758 Total</t>
  </si>
  <si>
    <t>0000192760 Total</t>
  </si>
  <si>
    <t>0000192762 Total</t>
  </si>
  <si>
    <t>0000192763 Total</t>
  </si>
  <si>
    <t>0000192764 Total</t>
  </si>
  <si>
    <t>0000192765 Total</t>
  </si>
  <si>
    <t>0000192766 Total</t>
  </si>
  <si>
    <t>0000192767 Total</t>
  </si>
  <si>
    <t>0000192769 Total</t>
  </si>
  <si>
    <t>0000192770 Total</t>
  </si>
  <si>
    <t>0000192771 Total</t>
  </si>
  <si>
    <t>0000192772 Total</t>
  </si>
  <si>
    <t>0000192773 Total</t>
  </si>
  <si>
    <t>0000192775 Total</t>
  </si>
  <si>
    <t>0000192776 Total</t>
  </si>
  <si>
    <t>0000192777 Total</t>
  </si>
  <si>
    <t>0000192778 Total</t>
  </si>
  <si>
    <t>0000192780 Total</t>
  </si>
  <si>
    <t>0000192782 Total</t>
  </si>
  <si>
    <t>0000192783 Total</t>
  </si>
  <si>
    <t>0000192784 Total</t>
  </si>
  <si>
    <t>0000192785 Total</t>
  </si>
  <si>
    <t>0000192786 Total</t>
  </si>
  <si>
    <t>0000192787 Total</t>
  </si>
  <si>
    <t>0000192788 Total</t>
  </si>
  <si>
    <t>0000192789 Total</t>
  </si>
  <si>
    <t>0000192790 Total</t>
  </si>
  <si>
    <t>0000192791 Total</t>
  </si>
  <si>
    <t>0000192792 Total</t>
  </si>
  <si>
    <t>0000192793 Total</t>
  </si>
  <si>
    <t>0000192794 Total</t>
  </si>
  <si>
    <t>0000192795 Total</t>
  </si>
  <si>
    <t>0000192796 Total</t>
  </si>
  <si>
    <t>0000192797 Total</t>
  </si>
  <si>
    <t>0000192798 Total</t>
  </si>
  <si>
    <t>0000192799 Total</t>
  </si>
  <si>
    <t>0000192800 Total</t>
  </si>
  <si>
    <t>0000192801 Total</t>
  </si>
  <si>
    <t>0000192802 Total</t>
  </si>
  <si>
    <t>0000192803 Total</t>
  </si>
  <si>
    <t>0000192804 Total</t>
  </si>
  <si>
    <t>0000192805 Total</t>
  </si>
  <si>
    <t>Sum of GROSS SALES</t>
  </si>
  <si>
    <t>Values</t>
  </si>
  <si>
    <t>Sum of DISCOUNT AMT.</t>
  </si>
  <si>
    <t>205710003002</t>
  </si>
  <si>
    <t>TRI BNDGE 40"X40" WH</t>
  </si>
  <si>
    <t>100665</t>
  </si>
  <si>
    <t>IBUP ADVIL 200MG CAP</t>
  </si>
  <si>
    <t>202130004001</t>
  </si>
  <si>
    <t>BREAST MILK BAG 250ML</t>
  </si>
  <si>
    <t>4806519380383</t>
  </si>
  <si>
    <t>CETI TRIXSUER 10MG TAB</t>
  </si>
  <si>
    <t>4806524147131</t>
  </si>
  <si>
    <t>CELE EMICOX 200MG CAP</t>
  </si>
  <si>
    <t>201190001052</t>
  </si>
  <si>
    <t>SURGICAL GLOVES 7</t>
  </si>
  <si>
    <t>4807788564191</t>
  </si>
  <si>
    <t>SOLMUX ADV 500MG/5MG TAB</t>
  </si>
  <si>
    <t>4800024572981</t>
  </si>
  <si>
    <t>DM 100% PINE HEART SMRT 220ML</t>
  </si>
  <si>
    <t>4800046000752</t>
  </si>
  <si>
    <t>VIVALYTE DRINK ORANGE 250ML</t>
  </si>
  <si>
    <t>ANGELA</t>
  </si>
  <si>
    <t>AYEN</t>
  </si>
  <si>
    <t>48035156</t>
  </si>
  <si>
    <t>EFFICSCNT OIL XTRA STR 25ML</t>
  </si>
  <si>
    <t>203790002033</t>
  </si>
  <si>
    <t>HYDRO DROXISUR 100MG VIAL</t>
  </si>
  <si>
    <t>100126</t>
  </si>
  <si>
    <t>LEVE LEVIT 500MG TAB</t>
  </si>
  <si>
    <t>14801010194002</t>
  </si>
  <si>
    <t>BAND-AID PIECE</t>
  </si>
  <si>
    <t>PC</t>
  </si>
  <si>
    <t>BOX</t>
  </si>
  <si>
    <t/>
  </si>
  <si>
    <t>GROCERIES SUPPLIES</t>
  </si>
  <si>
    <t>DEFAULT GROCERIES</t>
  </si>
  <si>
    <t>4800016087189</t>
  </si>
  <si>
    <t>MAGIC JUNIOR CONDENSADA 16G</t>
  </si>
  <si>
    <t>4800016083457</t>
  </si>
  <si>
    <t>MAGIC JUNIOR STRAWBERRY 16G</t>
  </si>
  <si>
    <t>4805358317031</t>
  </si>
  <si>
    <t>MAGNOLIA CHEEZEE 165G</t>
  </si>
  <si>
    <t>06/22/2021</t>
  </si>
  <si>
    <t>4805358427921</t>
  </si>
  <si>
    <t>MAGNOLIA CHEEZEE MILKY WHITE 235G</t>
  </si>
  <si>
    <t>01/09/2019</t>
  </si>
  <si>
    <t>4805358600003</t>
  </si>
  <si>
    <t>MAGNOLIA CHOCOLAIT 200ML</t>
  </si>
  <si>
    <t>04/21/2021</t>
  </si>
  <si>
    <t>480538603059</t>
  </si>
  <si>
    <t>MAGNOLIA CHOCOLAIT MILK 250ML</t>
  </si>
  <si>
    <t>02/27/2023</t>
  </si>
  <si>
    <t>4805358319059</t>
  </si>
  <si>
    <t>MAGNOLIA CREAM CHEESE ORIGINAL 220G (BOTTLE)</t>
  </si>
  <si>
    <t>10/07/2024</t>
  </si>
  <si>
    <t>4805358810327</t>
  </si>
  <si>
    <t>MAGNOLIA CREAMY CHICKEN SPREAD 220ML</t>
  </si>
  <si>
    <t>8996001302620</t>
  </si>
  <si>
    <t>MALKIST SANDWICH CHOCOLATE CRACKER 24G</t>
  </si>
  <si>
    <t>480778821933</t>
  </si>
  <si>
    <t>HYDRITE UNFLAVORED 4.1G SACH</t>
  </si>
  <si>
    <t>100623</t>
  </si>
  <si>
    <t>C2 SOLO G/T APPLE 230ML</t>
  </si>
  <si>
    <t>4806037103761</t>
  </si>
  <si>
    <t>LEVO LENOXA 500MG TAB</t>
  </si>
  <si>
    <t>202470008001</t>
  </si>
  <si>
    <t>EVERWELL AD DPR M1-R</t>
  </si>
  <si>
    <t>480651795319</t>
  </si>
  <si>
    <t>IRRIGATING SOL 1L(ENDURE).</t>
  </si>
  <si>
    <t>0000197071</t>
  </si>
  <si>
    <t>0000183605</t>
  </si>
  <si>
    <t>0000197072</t>
  </si>
  <si>
    <t>0000183606</t>
  </si>
  <si>
    <t>0000197073</t>
  </si>
  <si>
    <t>0000183607</t>
  </si>
  <si>
    <t>0000197074</t>
  </si>
  <si>
    <t>0000183608</t>
  </si>
  <si>
    <t>0000197075</t>
  </si>
  <si>
    <t>0000183609</t>
  </si>
  <si>
    <t>0000197076</t>
  </si>
  <si>
    <t>0000183610</t>
  </si>
  <si>
    <t>0000197079</t>
  </si>
  <si>
    <t>0000183611</t>
  </si>
  <si>
    <t>0000197117</t>
  </si>
  <si>
    <t>0000183647</t>
  </si>
  <si>
    <t>0000197118</t>
  </si>
  <si>
    <t>0000183648</t>
  </si>
  <si>
    <t>0000197119</t>
  </si>
  <si>
    <t>0000183649</t>
  </si>
  <si>
    <t>0000197121</t>
  </si>
  <si>
    <t>0000183650</t>
  </si>
  <si>
    <t>0000197122</t>
  </si>
  <si>
    <t>0000183651</t>
  </si>
  <si>
    <t>0000197123</t>
  </si>
  <si>
    <t>0000183652</t>
  </si>
  <si>
    <t>0000197124</t>
  </si>
  <si>
    <t>0000183653</t>
  </si>
  <si>
    <t>0000197127</t>
  </si>
  <si>
    <t>0000183656</t>
  </si>
  <si>
    <t>0000197128</t>
  </si>
  <si>
    <t>0000183657</t>
  </si>
  <si>
    <t>0000197129</t>
  </si>
  <si>
    <t>0000183658</t>
  </si>
  <si>
    <t>0000197130</t>
  </si>
  <si>
    <t>0000183659</t>
  </si>
  <si>
    <t>0000197131</t>
  </si>
  <si>
    <t>0000183660</t>
  </si>
  <si>
    <t>0000197133</t>
  </si>
  <si>
    <t>0000183662</t>
  </si>
  <si>
    <t>0000197134</t>
  </si>
  <si>
    <t>0000183663</t>
  </si>
  <si>
    <t>ANGELA P.</t>
  </si>
  <si>
    <t>MIKEE M.</t>
  </si>
  <si>
    <t>0000197140</t>
  </si>
  <si>
    <t>0000183668</t>
  </si>
  <si>
    <t>102304</t>
  </si>
  <si>
    <t>CARVEDILOL CARVID 6.25MG TAB</t>
  </si>
  <si>
    <t>4809015705605</t>
  </si>
  <si>
    <t>TRIME TERAZIDINE 35MG TAB</t>
  </si>
  <si>
    <t>4801981119981</t>
  </si>
  <si>
    <t>WILKINS PURE 1L</t>
  </si>
  <si>
    <t>0000197141</t>
  </si>
  <si>
    <t>0000183669</t>
  </si>
  <si>
    <t>0000197143</t>
  </si>
  <si>
    <t>0000183670</t>
  </si>
  <si>
    <t>0000197144</t>
  </si>
  <si>
    <t>0000183671</t>
  </si>
  <si>
    <t>0000197145</t>
  </si>
  <si>
    <t>0000183672</t>
  </si>
  <si>
    <t>0000197146</t>
  </si>
  <si>
    <t>0000183673</t>
  </si>
  <si>
    <t>0000197147</t>
  </si>
  <si>
    <t>0000183674</t>
  </si>
  <si>
    <t>0000197195</t>
  </si>
  <si>
    <t>0000183718</t>
  </si>
  <si>
    <t>0000197196</t>
  </si>
  <si>
    <t>0000183719</t>
  </si>
  <si>
    <t>0000197197</t>
  </si>
  <si>
    <t>0000183720</t>
  </si>
  <si>
    <t>4800033142588</t>
  </si>
  <si>
    <t>DENTAL-B B JR TTHBRUSH 2S</t>
  </si>
  <si>
    <t>0000197198</t>
  </si>
  <si>
    <t>0000183721</t>
  </si>
  <si>
    <t>0000197200</t>
  </si>
  <si>
    <t>0000183722</t>
  </si>
  <si>
    <t>0000197201</t>
  </si>
  <si>
    <t>0000183723</t>
  </si>
  <si>
    <t>Date</t>
  </si>
  <si>
    <t>Cashier</t>
  </si>
  <si>
    <t>03/15/2026</t>
  </si>
  <si>
    <t>03/16/2026</t>
  </si>
  <si>
    <t xml:space="preserve">03/17/2026 </t>
  </si>
  <si>
    <t>03/17/2026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</si>
</sst>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quotePrefix="1"/>
    <xf numFmtId="4" fontId="0" fillId="0" borderId="0" xfId="0" applyNumberFormat="1"/>
    <xf numFmtId="4" fontId="1" fillId="0" borderId="0" xfId="0" applyNumberFormat="1" applyFont="1"/>
    <xf numFmtId="4" fontId="0" fillId="0" borderId="0" xfId="0" quotePrefix="1" applyNumberFormat="1"/>
    <xf numFmtId="4" fontId="0" fillId="3" borderId="0" xfId="0" applyNumberFormat="1" applyFill="1"/>
    <xf numFmtId="164" fontId="1" fillId="0" borderId="0" xfId="0" applyNumberFormat="1" applyFont="1"/>
    <xf numFmtId="164" fontId="0" fillId="0" borderId="0" xfId="0" applyNumberFormat="1"/>
    <xf numFmtId="4" fontId="1" fillId="3" borderId="0" xfId="0" applyNumberFormat="1" applyFont="1" applyFill="1"/>
    <xf numFmtId="43" fontId="0" fillId="0" borderId="0" xfId="1" applyFont="1"/>
    <xf numFmtId="43" fontId="0" fillId="0" borderId="0" xfId="0" applyNumberFormat="1"/>
    <xf numFmtId="43" fontId="4" fillId="0" borderId="0" xfId="0" applyNumberFormat="1" applyFont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pivotButton="1"/>
    <xf numFmtId="4" fontId="0" fillId="4" borderId="0" xfId="0" applyNumberFormat="1" applyFill="1"/>
    <xf numFmtId="4" fontId="0" fillId="0" borderId="0" xfId="0" applyNumberFormat="1" applyAlignment="1">
      <alignment horizontal="center"/>
    </xf>
    <xf numFmtId="20" fontId="1" fillId="0" borderId="0" xfId="0" applyNumberFormat="1" applyFont="1"/>
    <xf numFmtId="164" fontId="1" fillId="0" borderId="0" xfId="0" quotePrefix="1" applyNumberFormat="1" applyFont="1"/>
    <xf numFmtId="0" fontId="1" fillId="3" borderId="0" xfId="0" applyFont="1" applyFill="1"/>
    <xf numFmtId="164" fontId="1" fillId="3" borderId="0" xfId="0" applyNumberFormat="1" applyFont="1" applyFill="1"/>
  </cellXfs>
  <cellStyles count="2">
    <cellStyle name="Comma" xfId="1" builtinId="3"/>
    <cellStyle name="Normal" xfId="0" builtinId="0"/>
  </cellStyles>
  <dxfs count="4"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ito ledesma" refreshedDate="46036.660252893518" createdVersion="8" refreshedVersion="8" minRefreshableVersion="3" recordCount="79" xr:uid="{41EA2250-9EC1-421A-8FF5-0AB1F52F75B5}">
  <cacheSource type="worksheet">
    <worksheetSource ref="A1:P80" sheet="Sheet3"/>
  </cacheSource>
  <cacheFields count="16">
    <cacheField name="sales staff" numFmtId="0">
      <sharedItems/>
    </cacheField>
    <cacheField name="TIME" numFmtId="164">
      <sharedItems containsSemiMixedTypes="0" containsNonDate="0" containsDate="1" containsString="0" minDate="1899-12-30T00:06:00" maxDate="1899-12-30T15:32:00"/>
    </cacheField>
    <cacheField name="TRX NO." numFmtId="0">
      <sharedItems count="45">
        <s v="0000192755"/>
        <s v="0000192756"/>
        <s v="0000192757"/>
        <s v="0000192758"/>
        <s v="0000192760"/>
        <s v="0000192762"/>
        <s v="0000192763"/>
        <s v="0000192764"/>
        <s v="0000192765"/>
        <s v="0000192766"/>
        <s v="0000192767"/>
        <s v="0000192769"/>
        <s v="0000192770"/>
        <s v="0000192771"/>
        <s v="0000192772"/>
        <s v="0000192773"/>
        <s v="0000192778"/>
        <s v="0000192784"/>
        <s v="0000192793"/>
        <s v="0000192795"/>
        <s v="0000192804"/>
        <s v="0000192775"/>
        <s v="0000192776"/>
        <s v="0000192777"/>
        <s v="0000192780"/>
        <s v="0000192782"/>
        <s v="0000192783"/>
        <s v="0000192785"/>
        <s v="0000192786"/>
        <s v="0000192787"/>
        <s v="0000192788"/>
        <s v="0000192789"/>
        <s v="0000192790"/>
        <s v="0000192791"/>
        <s v="0000192792"/>
        <s v="0000192794"/>
        <s v="0000192796"/>
        <s v="0000192797"/>
        <s v="0000192798"/>
        <s v="0000192799"/>
        <s v="0000192800"/>
        <s v="0000192801"/>
        <s v="0000192802"/>
        <s v="0000192803"/>
        <s v="0000192805"/>
      </sharedItems>
    </cacheField>
    <cacheField name="INVOICE/O.R.#" numFmtId="4">
      <sharedItems count="45">
        <s v="0000179725"/>
        <s v="0000179726"/>
        <s v="0000179727"/>
        <s v="0000179728"/>
        <s v="0000179729"/>
        <s v="0000179730"/>
        <s v="0000179731"/>
        <s v="0000179732"/>
        <s v="0000179733"/>
        <s v="0000179734"/>
        <s v="0000179735"/>
        <s v="0000179736"/>
        <s v="0000179737"/>
        <s v="0000179738"/>
        <s v="0000179739"/>
        <s v="0000179740"/>
        <s v="0000179745"/>
        <s v="0000179748"/>
        <s v="0000179758"/>
        <s v="0000179759"/>
        <s v="0000179769"/>
        <s v="0000179741"/>
        <s v="0000179742"/>
        <s v="0000179743"/>
        <s v="0000179744"/>
        <s v="0000179746"/>
        <s v="0000179747"/>
        <s v="0000179749"/>
        <s v="0000179750"/>
        <s v="0000179751"/>
        <s v="0000179752"/>
        <s v="0000179753"/>
        <s v="0000179754"/>
        <s v="0000179755"/>
        <s v="0000179756"/>
        <s v="0000179757"/>
        <s v="0000179760"/>
        <s v="0000179761"/>
        <s v="0000179762"/>
        <s v="0000179763"/>
        <s v="0000179764"/>
        <s v="0000179765"/>
        <s v="0000179766"/>
        <s v="0000179767"/>
        <s v="0000179768"/>
      </sharedItems>
    </cacheField>
    <cacheField name="ITEM CODE" numFmtId="4">
      <sharedItems count="62">
        <s v="102055"/>
        <s v="8935236000734"/>
        <s v="8850006325230"/>
        <s v="201510003028"/>
        <s v="202890003005"/>
        <s v="4806524141412"/>
        <s v="320136"/>
        <s v="4800489118281"/>
        <s v="205000002018"/>
        <s v="4806506318894"/>
        <s v="201910001115"/>
        <s v="96136140"/>
        <s v="4806525870953"/>
        <s v="4807788712448"/>
        <s v="320540"/>
        <s v="200350008001"/>
        <s v="4806502161463"/>
        <s v="4806539570245"/>
        <s v="4809015596104"/>
        <s v="4806517791006"/>
        <s v="4806517790405"/>
        <s v="4806517790276"/>
        <s v="4806527193456"/>
        <s v="4806037104744"/>
        <s v="8904179017086"/>
        <s v="399684"/>
        <s v="100491"/>
        <s v="4800573117053"/>
        <s v="4806517790542"/>
        <s v="8904182011613"/>
        <s v="200300002018"/>
        <s v="8903726281932"/>
        <s v="8906046003833"/>
        <s v="4806524780802"/>
        <s v="8908001208888"/>
        <s v="2WING0001001"/>
        <s v="14800286242110"/>
        <s v="6920557238456"/>
        <s v="4809015212363"/>
        <s v="201190001038"/>
        <s v="4807788519238"/>
        <s v="200670002018"/>
        <s v="4806524149630"/>
        <s v="8906143081413"/>
        <s v="8906065310011"/>
        <s v="4809015705865"/>
        <s v="4806519386224"/>
        <s v="4806519387375"/>
        <s v="201510001017"/>
        <s v="200600003004"/>
        <s v="4806527091776"/>
        <s v="300276"/>
        <s v="200560003001"/>
        <s v="201190001051"/>
        <s v="100469"/>
        <s v="102463"/>
        <s v="4806517790283"/>
        <s v="203790002014"/>
        <s v="4800014147083"/>
        <s v="4800016052057"/>
        <s v="201190003002"/>
        <s v="102441"/>
      </sharedItems>
    </cacheField>
    <cacheField name="DESCRIPTION" numFmtId="4">
      <sharedItems count="62">
        <s v="FIXCOM 4 TAB"/>
        <s v="COLGATE SPR FLEXI BLACK"/>
        <s v="COLGATE CL MNTHOL 20G."/>
        <s v="TEGADERM 2&quot;X2&quot;"/>
        <s v="COMMODE CHAIR W/ FOAM CHAIR"/>
        <s v="IV CANNULA G. 22"/>
        <s v="HEPLOCK"/>
        <s v="SITAG+MET VELMETIA 50MG/500MG TAB"/>
        <s v="GLICLA GLIFRED MR 30MG TAB"/>
        <s v="SSTRS DY MAX 12'S SULIT PACK"/>
        <s v="ELASTIC BAND 10X4.5(SURE GUARD)"/>
        <s v="GAVISCON DOUBLE ACT 10ML"/>
        <s v="IRON SUC IROMAX 100MG/5ML AMP"/>
        <s v="NEOZEP FORTE Z+ TAB"/>
        <s v="CALCI-PLUS 600 TAB"/>
        <s v="FREE - CALCI-PLUS"/>
        <s v="REACH BIG TVL PK 2P 70P"/>
        <s v="CLOPI CLOPINOVA 75MG TAB"/>
        <s v="CEFE NEUPIME 1G VIAL"/>
        <s v="SEVE NEFRAL 800MG TAB"/>
        <s v="LOSARTAN KENZAR 100MG TAB"/>
        <s v="ATOR ITORVAZ 40MG TAB"/>
        <s v="ATOR VAZI2R 80MG TAB"/>
        <s v="ISMN ISOLYTE 30MG TAB"/>
        <s v="TRIME ANGIOGEN 35MG TAB"/>
        <s v="ASPIRIN SAPHRIN 80MG TAB."/>
        <s v="LOSARTAN NATRAZOL 100MG TAB"/>
        <s v="STERILE H20 50ML(EUROMED)"/>
        <s v="AMLO+L VEZTENOR 5MG/50MG TAB"/>
        <s v="GLIME DIANOV 2MG TAB"/>
        <s v="FEBU FEBUMAX 40MG TAB"/>
        <s v="LEVE LEPIXA 500MG TAB"/>
        <s v="TAMSU URITAM 400MCG TAB"/>
        <s v="FINAS FINSTAL 5MG TAB"/>
        <s v="LACTU LACTOKHRIZ 3.35G/5ML 60ML"/>
        <s v="CIPRO CYFROX 500MG TAB"/>
        <s v="ISOX DUVADILAN 10MG TAB"/>
        <s v="GENTA GENTAM 80MG/2ML AMP"/>
        <s v="CLINDAVEST 300MG/2ML AMP"/>
        <s v="MEASURING CUP 30CC"/>
        <s v="CEELIN 250ML"/>
        <s v="CLOPI COPIDE 75MG TAB"/>
        <s v="KETOREX TAB"/>
        <s v="SITAG SITAGLI-50 50MG TAB"/>
        <s v="SITAG SI2NORM 50MG TAB"/>
        <s v="KETOMIRIN TAB"/>
        <s v="MUPI NOBACRIN OINT 5G"/>
        <s v="MICROPORE 1&quot; (HEXACARE)"/>
        <s v="GAUZE PD 4X4 5S"/>
        <s v="GAUZE PD 4X4 1S"/>
        <s v="DEXME PREDEX 200MCG/2ML AMP"/>
        <s v="NAPRO FLANAX FORTE 550MG TAB."/>
        <s v="MICROCLAVE CONN 50.251H(TUTA)"/>
        <s v="SURGICAL GLOVES 6.5"/>
        <s v="MECLI BONAMINE 25MG TAB"/>
        <s v="ASPIRIN SCHEEPRIN 80MG TAB"/>
        <s v="ATOR ITORVAZ 80MG TAB"/>
        <s v="TELMI GLOSARTAN 40MG TAB"/>
        <s v="ABSOLUTE 350ML"/>
        <s v="C2 CL&amp;CLN TEA LEMON 355ML"/>
        <s v="CLEAN GLOVES L-NITRILE PAIR"/>
        <s v="ALAXAN FR CAP"/>
      </sharedItems>
    </cacheField>
    <cacheField name="SELLING PRICE" numFmtId="4">
      <sharedItems containsSemiMixedTypes="0" containsString="0" containsNumber="1" minValue="0.01" maxValue="3955"/>
    </cacheField>
    <cacheField name="PRICE LEVEL" numFmtId="4">
      <sharedItems/>
    </cacheField>
    <cacheField name="QTY SOLD" numFmtId="4">
      <sharedItems containsSemiMixedTypes="0" containsString="0" containsNumber="1" containsInteger="1" minValue="-1" maxValue="100"/>
    </cacheField>
    <cacheField name="PRICE SOLD" numFmtId="4">
      <sharedItems containsSemiMixedTypes="0" containsString="0" containsNumber="1" minValue="0.01" maxValue="3955"/>
    </cacheField>
    <cacheField name="GROSS SALES" numFmtId="4">
      <sharedItems containsSemiMixedTypes="0" containsString="0" containsNumber="1" minValue="-378" maxValue="4760"/>
    </cacheField>
    <cacheField name="GROSS COST" numFmtId="4">
      <sharedItems containsSemiMixedTypes="0" containsString="0" containsNumber="1" minValue="-78" maxValue="2976"/>
    </cacheField>
    <cacheField name="DISCOUNT %" numFmtId="4">
      <sharedItems containsString="0" containsBlank="1" containsNumber="1" containsInteger="1" minValue="20" maxValue="20"/>
    </cacheField>
    <cacheField name="DISCOUNT AMT." numFmtId="4">
      <sharedItems containsString="0" containsBlank="1" containsNumber="1" minValue="34.159999999999997" maxValue="952"/>
    </cacheField>
    <cacheField name="NET PROFIT" numFmtId="4">
      <sharedItems containsString="0" containsBlank="1" containsNumber="1" minValue="-300" maxValue="1655"/>
    </cacheField>
    <cacheField name="DISCOUNT TAG" numFmtId="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01/13/2026 - ANGELA P."/>
    <d v="1899-12-30T06:38:00"/>
    <x v="0"/>
    <x v="0"/>
    <x v="0"/>
    <x v="0"/>
    <n v="12"/>
    <s v="PRICE 1"/>
    <n v="3"/>
    <n v="12"/>
    <n v="36"/>
    <n v="31.53"/>
    <m/>
    <m/>
    <n v="4.47"/>
    <m/>
  </r>
  <r>
    <s v="01/13/2026 - ANGELA P."/>
    <d v="1899-12-30T06:40:00"/>
    <x v="1"/>
    <x v="1"/>
    <x v="1"/>
    <x v="1"/>
    <n v="42"/>
    <s v="PRICE 1"/>
    <n v="1"/>
    <n v="42"/>
    <n v="42"/>
    <n v="33"/>
    <m/>
    <m/>
    <n v="9"/>
    <m/>
  </r>
  <r>
    <s v="01/13/2026 - ANGELA P."/>
    <d v="1899-12-30T06:40:00"/>
    <x v="1"/>
    <x v="1"/>
    <x v="2"/>
    <x v="2"/>
    <n v="12"/>
    <s v="PRICE 1"/>
    <n v="1"/>
    <n v="12"/>
    <n v="12"/>
    <n v="9"/>
    <m/>
    <m/>
    <n v="3"/>
    <m/>
  </r>
  <r>
    <s v="01/13/2026 - ANGELA P."/>
    <d v="1899-12-30T07:17:00"/>
    <x v="2"/>
    <x v="2"/>
    <x v="3"/>
    <x v="3"/>
    <n v="75"/>
    <s v="PRICE 1"/>
    <n v="2"/>
    <n v="75"/>
    <n v="150"/>
    <n v="42"/>
    <m/>
    <m/>
    <n v="108"/>
    <m/>
  </r>
  <r>
    <s v="01/13/2026 - ANGELA P."/>
    <d v="1899-12-30T07:44:00"/>
    <x v="3"/>
    <x v="3"/>
    <x v="4"/>
    <x v="4"/>
    <n v="3955"/>
    <s v="PRICE 1"/>
    <n v="1"/>
    <n v="3955"/>
    <n v="3955"/>
    <n v="2300"/>
    <m/>
    <m/>
    <n v="1655"/>
    <m/>
  </r>
  <r>
    <s v="01/13/2026 - ANGELA P."/>
    <d v="1899-12-30T07:59:00"/>
    <x v="4"/>
    <x v="4"/>
    <x v="5"/>
    <x v="5"/>
    <n v="28"/>
    <s v="PRICE 1"/>
    <n v="1"/>
    <n v="28"/>
    <n v="28"/>
    <n v="12"/>
    <m/>
    <m/>
    <n v="16"/>
    <m/>
  </r>
  <r>
    <s v="01/13/2026 - ANGELA P."/>
    <d v="1899-12-30T07:59:00"/>
    <x v="4"/>
    <x v="4"/>
    <x v="6"/>
    <x v="6"/>
    <n v="35"/>
    <s v="PRICE 1"/>
    <n v="1"/>
    <n v="35"/>
    <n v="35"/>
    <n v="9.5"/>
    <m/>
    <m/>
    <n v="25.5"/>
    <m/>
  </r>
  <r>
    <s v="01/13/2026 - ANGELA P."/>
    <d v="1899-12-30T08:06:00"/>
    <x v="5"/>
    <x v="5"/>
    <x v="7"/>
    <x v="7"/>
    <n v="30.31"/>
    <s v="PRICE 1"/>
    <n v="73"/>
    <n v="30.31"/>
    <n v="2212.63"/>
    <n v="1535.92"/>
    <m/>
    <m/>
    <n v="676.71"/>
    <m/>
  </r>
  <r>
    <s v="01/13/2026 - ANGELA P."/>
    <d v="1899-12-30T08:06:00"/>
    <x v="5"/>
    <x v="5"/>
    <x v="8"/>
    <x v="8"/>
    <n v="7"/>
    <s v="PRICE 1"/>
    <n v="64"/>
    <n v="7"/>
    <n v="448"/>
    <n v="160"/>
    <m/>
    <m/>
    <n v="288"/>
    <m/>
  </r>
  <r>
    <s v="01/13/2026 - ANGELA P."/>
    <d v="1899-12-30T08:14:00"/>
    <x v="6"/>
    <x v="6"/>
    <x v="9"/>
    <x v="9"/>
    <n v="30"/>
    <s v="PRICE 1"/>
    <n v="1"/>
    <n v="30"/>
    <n v="30"/>
    <n v="23"/>
    <m/>
    <m/>
    <n v="7"/>
    <m/>
  </r>
  <r>
    <s v="01/13/2026 - ANGELA P."/>
    <d v="1899-12-30T08:27:00"/>
    <x v="7"/>
    <x v="7"/>
    <x v="10"/>
    <x v="10"/>
    <n v="64"/>
    <s v="PRICE 1"/>
    <n v="1"/>
    <n v="64"/>
    <n v="64"/>
    <n v="19"/>
    <m/>
    <m/>
    <n v="45"/>
    <m/>
  </r>
  <r>
    <s v="01/13/2026 - ANGELA P."/>
    <d v="1899-12-30T08:31:00"/>
    <x v="8"/>
    <x v="8"/>
    <x v="6"/>
    <x v="6"/>
    <n v="35"/>
    <s v="PRICE 1"/>
    <n v="1"/>
    <n v="35"/>
    <n v="35"/>
    <n v="9.5"/>
    <m/>
    <m/>
    <n v="25.5"/>
    <m/>
  </r>
  <r>
    <s v="01/13/2026 - ANGELA P."/>
    <d v="1899-12-30T08:31:00"/>
    <x v="8"/>
    <x v="8"/>
    <x v="5"/>
    <x v="5"/>
    <n v="28"/>
    <s v="PRICE 1"/>
    <n v="1"/>
    <n v="28"/>
    <n v="28"/>
    <n v="12"/>
    <m/>
    <m/>
    <n v="16"/>
    <m/>
  </r>
  <r>
    <s v="01/13/2026 - ANGELA P."/>
    <d v="1899-12-30T08:32:00"/>
    <x v="8"/>
    <x v="8"/>
    <x v="11"/>
    <x v="11"/>
    <n v="44"/>
    <s v="PRICE 1"/>
    <n v="5"/>
    <n v="44"/>
    <n v="220"/>
    <n v="200"/>
    <m/>
    <m/>
    <n v="20"/>
    <m/>
  </r>
  <r>
    <s v="01/13/2026 - ANGELA P."/>
    <d v="1899-12-30T08:32:00"/>
    <x v="8"/>
    <x v="8"/>
    <x v="12"/>
    <x v="12"/>
    <n v="388"/>
    <s v="PRICE 1"/>
    <n v="4"/>
    <n v="388"/>
    <n v="1552"/>
    <n v="290.39999999999998"/>
    <m/>
    <m/>
    <n v="1261.5999999999999"/>
    <m/>
  </r>
  <r>
    <s v="01/13/2026 - ANGELA P."/>
    <d v="1899-12-30T08:40:00"/>
    <x v="9"/>
    <x v="9"/>
    <x v="13"/>
    <x v="13"/>
    <n v="9.35"/>
    <s v="PRICE 1"/>
    <n v="4"/>
    <n v="9.35"/>
    <n v="37.4"/>
    <n v="28.28"/>
    <m/>
    <m/>
    <n v="9.1199999999999992"/>
    <m/>
  </r>
  <r>
    <s v="01/13/2026 - ANGELA P."/>
    <d v="1899-12-30T08:41:00"/>
    <x v="10"/>
    <x v="10"/>
    <x v="14"/>
    <x v="14"/>
    <n v="18"/>
    <s v="PRICE 1"/>
    <n v="20"/>
    <n v="18"/>
    <n v="360"/>
    <n v="56"/>
    <m/>
    <m/>
    <n v="304"/>
    <m/>
  </r>
  <r>
    <s v="01/13/2026 - ANGELA P."/>
    <d v="1899-12-30T08:41:00"/>
    <x v="10"/>
    <x v="10"/>
    <x v="15"/>
    <x v="15"/>
    <n v="0.01"/>
    <s v="PRICE 1"/>
    <n v="2"/>
    <n v="0.01"/>
    <n v="0.02"/>
    <n v="0.02"/>
    <m/>
    <m/>
    <m/>
    <m/>
  </r>
  <r>
    <s v="01/13/2026 - ANGELA P."/>
    <d v="1899-12-30T09:06:00"/>
    <x v="11"/>
    <x v="11"/>
    <x v="6"/>
    <x v="6"/>
    <n v="35"/>
    <s v="PRICE 1"/>
    <n v="1"/>
    <n v="35"/>
    <n v="35"/>
    <n v="9.5"/>
    <m/>
    <m/>
    <n v="25.5"/>
    <m/>
  </r>
  <r>
    <s v="01/13/2026 - ANGELA P."/>
    <d v="1899-12-30T09:07:00"/>
    <x v="12"/>
    <x v="12"/>
    <x v="5"/>
    <x v="5"/>
    <n v="28"/>
    <s v="PRICE 1"/>
    <n v="1"/>
    <n v="28"/>
    <n v="28"/>
    <n v="12"/>
    <m/>
    <m/>
    <n v="16"/>
    <m/>
  </r>
  <r>
    <s v="01/13/2026 - ANGELA P."/>
    <d v="1899-12-30T09:21:00"/>
    <x v="13"/>
    <x v="13"/>
    <x v="16"/>
    <x v="16"/>
    <n v="32"/>
    <s v="PRICE 1"/>
    <n v="1"/>
    <n v="32"/>
    <n v="32"/>
    <n v="23.25"/>
    <m/>
    <m/>
    <n v="8.75"/>
    <m/>
  </r>
  <r>
    <s v="01/13/2026 - ANGELA P."/>
    <d v="1899-12-30T09:34:00"/>
    <x v="14"/>
    <x v="14"/>
    <x v="17"/>
    <x v="17"/>
    <n v="18"/>
    <s v="PRICE 1"/>
    <n v="10"/>
    <n v="18"/>
    <n v="180"/>
    <n v="16"/>
    <m/>
    <m/>
    <n v="164"/>
    <m/>
  </r>
  <r>
    <s v="01/13/2026 - ANGELA P."/>
    <d v="1899-12-30T09:38:00"/>
    <x v="15"/>
    <x v="15"/>
    <x v="18"/>
    <x v="18"/>
    <n v="628"/>
    <s v="PRICE 1"/>
    <n v="1"/>
    <n v="628"/>
    <n v="628"/>
    <n v="99.63"/>
    <m/>
    <m/>
    <n v="528.37"/>
    <m/>
  </r>
  <r>
    <s v="01/13/2026 - ANGELA P._1"/>
    <d v="1899-12-30T00:06:00"/>
    <x v="16"/>
    <x v="16"/>
    <x v="19"/>
    <x v="19"/>
    <n v="49"/>
    <s v="PRICE 1"/>
    <n v="45"/>
    <n v="49"/>
    <n v="2205"/>
    <n v="1368.9"/>
    <n v="20"/>
    <n v="441"/>
    <n v="395.1"/>
    <s v="SC/PWD DISC"/>
  </r>
  <r>
    <s v="01/13/2026 - ANGELA P._1"/>
    <d v="1899-12-30T00:06:00"/>
    <x v="17"/>
    <x v="17"/>
    <x v="20"/>
    <x v="20"/>
    <n v="17.079999999999998"/>
    <s v="PRICE 1"/>
    <n v="10"/>
    <n v="17.079999999999998"/>
    <n v="170.8"/>
    <n v="133.19999999999999"/>
    <n v="20"/>
    <n v="34.159999999999997"/>
    <n v="3.44"/>
    <s v="SC/PWD DISC"/>
  </r>
  <r>
    <s v="01/13/2026 - ANGELA P._1"/>
    <d v="1899-12-30T00:06:00"/>
    <x v="17"/>
    <x v="17"/>
    <x v="21"/>
    <x v="21"/>
    <n v="25"/>
    <s v="PRICE 1"/>
    <n v="10"/>
    <n v="25"/>
    <n v="250"/>
    <n v="167.7"/>
    <n v="20"/>
    <n v="50"/>
    <n v="32.299999999999997"/>
    <s v="SC/PWD DISC"/>
  </r>
  <r>
    <s v="01/13/2026 - ANGELA P._1"/>
    <d v="1899-12-30T00:08:00"/>
    <x v="18"/>
    <x v="18"/>
    <x v="22"/>
    <x v="22"/>
    <n v="17"/>
    <s v="PRICE 1"/>
    <n v="100"/>
    <n v="17"/>
    <n v="1700"/>
    <n v="335"/>
    <m/>
    <m/>
    <n v="1365"/>
    <m/>
  </r>
  <r>
    <s v="01/13/2026 - ANGELA P._1"/>
    <d v="1899-12-30T00:08:00"/>
    <x v="18"/>
    <x v="18"/>
    <x v="23"/>
    <x v="23"/>
    <n v="12"/>
    <s v="PRICE 1"/>
    <n v="48"/>
    <n v="12"/>
    <n v="576"/>
    <n v="177.12"/>
    <m/>
    <m/>
    <n v="398.88"/>
    <m/>
  </r>
  <r>
    <s v="01/13/2026 - ANGELA P._1"/>
    <d v="1899-12-30T00:08:00"/>
    <x v="18"/>
    <x v="18"/>
    <x v="24"/>
    <x v="24"/>
    <n v="14"/>
    <s v="PRICE 1"/>
    <n v="60"/>
    <n v="14"/>
    <n v="840"/>
    <n v="138.6"/>
    <m/>
    <m/>
    <n v="701.4"/>
    <m/>
  </r>
  <r>
    <s v="01/13/2026 - ANGELA P._1"/>
    <d v="1899-12-30T00:08:00"/>
    <x v="18"/>
    <x v="18"/>
    <x v="25"/>
    <x v="25"/>
    <n v="3"/>
    <s v="PRICE 1"/>
    <n v="30"/>
    <n v="3"/>
    <n v="90"/>
    <n v="24.9"/>
    <m/>
    <m/>
    <n v="65.099999999999994"/>
    <m/>
  </r>
  <r>
    <s v="01/13/2026 - ANGELA P._1"/>
    <d v="1899-12-30T00:08:00"/>
    <x v="18"/>
    <x v="18"/>
    <x v="23"/>
    <x v="23"/>
    <n v="12"/>
    <s v="PRICE 1"/>
    <n v="52"/>
    <n v="12"/>
    <n v="624"/>
    <n v="191.88"/>
    <m/>
    <m/>
    <n v="432.12"/>
    <m/>
  </r>
  <r>
    <s v="01/13/2026 - ANGELA P._1"/>
    <d v="1899-12-30T00:08:00"/>
    <x v="18"/>
    <x v="18"/>
    <x v="26"/>
    <x v="26"/>
    <n v="4"/>
    <s v="PRICE 1"/>
    <n v="42"/>
    <n v="4"/>
    <n v="168"/>
    <n v="42"/>
    <m/>
    <m/>
    <n v="126"/>
    <m/>
  </r>
  <r>
    <s v="01/13/2026 - ANGELA P._1"/>
    <d v="1899-12-30T00:08:00"/>
    <x v="19"/>
    <x v="19"/>
    <x v="27"/>
    <x v="27"/>
    <n v="55"/>
    <s v="PRICE 1"/>
    <n v="1"/>
    <n v="55"/>
    <n v="55"/>
    <n v="40.75"/>
    <m/>
    <m/>
    <n v="14.25"/>
    <m/>
  </r>
  <r>
    <s v="01/13/2026 - ANGELA P._1"/>
    <d v="1899-12-30T00:09:00"/>
    <x v="20"/>
    <x v="20"/>
    <x v="28"/>
    <x v="28"/>
    <n v="21.78"/>
    <s v="PRICE 1"/>
    <n v="30"/>
    <n v="21.78"/>
    <n v="653.4"/>
    <n v="503.1"/>
    <m/>
    <m/>
    <n v="150.30000000000001"/>
    <m/>
  </r>
  <r>
    <s v="01/13/2026 - ANGELA P._1"/>
    <d v="1899-12-30T00:09:00"/>
    <x v="20"/>
    <x v="20"/>
    <x v="29"/>
    <x v="29"/>
    <n v="8"/>
    <s v="PRICE 1"/>
    <n v="30"/>
    <n v="8"/>
    <n v="240"/>
    <n v="22.5"/>
    <m/>
    <m/>
    <n v="217.5"/>
    <m/>
  </r>
  <r>
    <s v="01/13/2026 - ANGELA P._1"/>
    <d v="1899-12-30T00:09:00"/>
    <x v="20"/>
    <x v="20"/>
    <x v="30"/>
    <x v="30"/>
    <n v="23"/>
    <s v="PRICE 1"/>
    <n v="30"/>
    <n v="23"/>
    <n v="690"/>
    <n v="52.8"/>
    <m/>
    <m/>
    <n v="637.20000000000005"/>
    <m/>
  </r>
  <r>
    <s v="01/13/2026 - ANGELA P._1"/>
    <d v="1899-12-30T10:00:00"/>
    <x v="21"/>
    <x v="21"/>
    <x v="31"/>
    <x v="31"/>
    <n v="32"/>
    <s v="PRICE 1"/>
    <n v="19"/>
    <n v="68"/>
    <n v="1292"/>
    <n v="437"/>
    <m/>
    <m/>
    <n v="855"/>
    <m/>
  </r>
  <r>
    <s v="01/13/2026 - ANGELA P._1"/>
    <d v="1899-12-30T10:19:00"/>
    <x v="22"/>
    <x v="22"/>
    <x v="32"/>
    <x v="32"/>
    <n v="37.5"/>
    <s v="PRICE 1"/>
    <n v="30"/>
    <n v="37.5"/>
    <n v="1125"/>
    <n v="810"/>
    <n v="20"/>
    <n v="225"/>
    <n v="90"/>
    <s v="SC/PWD DISC"/>
  </r>
  <r>
    <s v="01/13/2026 - ANGELA P._1"/>
    <d v="1899-12-30T10:20:00"/>
    <x v="22"/>
    <x v="22"/>
    <x v="33"/>
    <x v="33"/>
    <n v="37.5"/>
    <s v="PRICE 1"/>
    <n v="30"/>
    <n v="37.5"/>
    <n v="1125"/>
    <n v="810"/>
    <n v="20"/>
    <n v="225"/>
    <n v="90"/>
    <s v="SC/PWD DISC"/>
  </r>
  <r>
    <s v="01/13/2026 - ANGELA P._1"/>
    <d v="1899-12-30T10:42:00"/>
    <x v="23"/>
    <x v="23"/>
    <x v="34"/>
    <x v="34"/>
    <n v="197"/>
    <s v="PRICE 1"/>
    <n v="1"/>
    <n v="197"/>
    <n v="197"/>
    <n v="65"/>
    <n v="20"/>
    <n v="39.4"/>
    <n v="92.6"/>
    <s v="SC/PWD DISC"/>
  </r>
  <r>
    <s v="01/13/2026 - ANGELA P._1"/>
    <d v="1899-12-30T10:42:00"/>
    <x v="23"/>
    <x v="23"/>
    <x v="19"/>
    <x v="19"/>
    <n v="49"/>
    <s v="PRICE 1"/>
    <n v="20"/>
    <n v="49"/>
    <n v="980"/>
    <n v="608.4"/>
    <n v="20"/>
    <n v="196"/>
    <n v="175.6"/>
    <s v="SC/PWD DISC"/>
  </r>
  <r>
    <s v="01/13/2026 - ANGELA P._1"/>
    <d v="1899-12-30T10:42:00"/>
    <x v="23"/>
    <x v="23"/>
    <x v="34"/>
    <x v="34"/>
    <n v="197"/>
    <s v="PRICE 1"/>
    <n v="1"/>
    <n v="197"/>
    <n v="197"/>
    <n v="65"/>
    <n v="20"/>
    <n v="39.4"/>
    <n v="92.6"/>
    <s v="SC/PWD DISC"/>
  </r>
  <r>
    <s v="01/13/2026 - ANGELA P._1"/>
    <d v="1899-12-30T10:49:00"/>
    <x v="24"/>
    <x v="24"/>
    <x v="35"/>
    <x v="35"/>
    <n v="15"/>
    <s v="PRICE 2"/>
    <n v="20"/>
    <n v="12"/>
    <n v="240"/>
    <n v="35.6"/>
    <m/>
    <m/>
    <n v="204.4"/>
    <m/>
  </r>
  <r>
    <s v="01/13/2026 - ANGELA P._1"/>
    <d v="1899-12-30T11:03:00"/>
    <x v="25"/>
    <x v="25"/>
    <x v="36"/>
    <x v="36"/>
    <n v="34.549999999999997"/>
    <s v="PRICE 1"/>
    <n v="3"/>
    <n v="34.549999999999997"/>
    <n v="103.65"/>
    <n v="81.75"/>
    <m/>
    <m/>
    <n v="21.9"/>
    <m/>
  </r>
  <r>
    <s v="01/13/2026 - ANGELA P._1"/>
    <d v="1899-12-30T11:04:00"/>
    <x v="26"/>
    <x v="26"/>
    <x v="37"/>
    <x v="37"/>
    <n v="68"/>
    <s v="PRICE 1"/>
    <n v="3"/>
    <n v="68"/>
    <n v="204"/>
    <n v="24"/>
    <m/>
    <m/>
    <n v="180"/>
    <m/>
  </r>
  <r>
    <s v="01/13/2026 - ANGELA P._1"/>
    <d v="1899-12-30T11:04:00"/>
    <x v="26"/>
    <x v="26"/>
    <x v="38"/>
    <x v="38"/>
    <n v="378"/>
    <s v="PRICE 1"/>
    <n v="1"/>
    <n v="378"/>
    <n v="378"/>
    <n v="78"/>
    <m/>
    <m/>
    <n v="300"/>
    <m/>
  </r>
  <r>
    <s v="01/13/2026 - ANGELA P._1"/>
    <d v="1899-12-30T11:19:00"/>
    <x v="27"/>
    <x v="27"/>
    <x v="39"/>
    <x v="39"/>
    <n v="10"/>
    <s v="PRICE 1"/>
    <n v="2"/>
    <n v="10"/>
    <n v="20"/>
    <n v="16"/>
    <m/>
    <m/>
    <n v="4"/>
    <m/>
  </r>
  <r>
    <s v="01/13/2026 - ANGELA P._1"/>
    <d v="1899-12-30T11:21:00"/>
    <x v="28"/>
    <x v="28"/>
    <x v="40"/>
    <x v="40"/>
    <n v="248"/>
    <s v="PRICE 8"/>
    <n v="1"/>
    <n v="240"/>
    <n v="240"/>
    <n v="235.29"/>
    <m/>
    <m/>
    <n v="4.71"/>
    <m/>
  </r>
  <r>
    <s v="01/13/2026 - ANGELA P._1"/>
    <d v="1899-12-30T11:51:00"/>
    <x v="29"/>
    <x v="29"/>
    <x v="41"/>
    <x v="41"/>
    <n v="18"/>
    <s v="PRICE 1"/>
    <n v="70"/>
    <n v="18"/>
    <n v="1260"/>
    <n v="83.3"/>
    <m/>
    <m/>
    <n v="1176.7"/>
    <m/>
  </r>
  <r>
    <s v="01/13/2026 - ANGELA P._1"/>
    <d v="1899-12-30T11:51:00"/>
    <x v="29"/>
    <x v="29"/>
    <x v="42"/>
    <x v="42"/>
    <n v="35"/>
    <s v="PRICE 1"/>
    <n v="30"/>
    <n v="35"/>
    <n v="1050"/>
    <n v="297"/>
    <m/>
    <m/>
    <n v="753"/>
    <m/>
  </r>
  <r>
    <s v="01/13/2026 - ANGELA P._1"/>
    <d v="1899-12-30T11:52:00"/>
    <x v="29"/>
    <x v="29"/>
    <x v="21"/>
    <x v="21"/>
    <n v="25"/>
    <s v="PRICE 1"/>
    <n v="70"/>
    <n v="25"/>
    <n v="1750"/>
    <n v="1173.9000000000001"/>
    <m/>
    <m/>
    <n v="576.1"/>
    <m/>
  </r>
  <r>
    <s v="01/13/2026 - ANGELA P._1"/>
    <d v="1899-12-30T11:52:00"/>
    <x v="29"/>
    <x v="29"/>
    <x v="43"/>
    <x v="43"/>
    <n v="34"/>
    <s v="PRICE 1"/>
    <n v="30"/>
    <n v="34"/>
    <n v="1020"/>
    <n v="324.89999999999998"/>
    <m/>
    <m/>
    <n v="695.1"/>
    <m/>
  </r>
  <r>
    <s v="01/13/2026 - ANGELA P._1"/>
    <d v="1899-12-30T12:04:00"/>
    <x v="29"/>
    <x v="29"/>
    <x v="42"/>
    <x v="42"/>
    <n v="35"/>
    <s v="PRICE 1"/>
    <n v="20"/>
    <n v="35"/>
    <n v="700"/>
    <n v="198"/>
    <m/>
    <m/>
    <n v="502"/>
    <m/>
  </r>
  <r>
    <s v="01/13/2026 - ANGELA P._1"/>
    <d v="1899-12-30T12:05:00"/>
    <x v="29"/>
    <x v="29"/>
    <x v="44"/>
    <x v="44"/>
    <n v="30"/>
    <s v="PRICE 1"/>
    <n v="60"/>
    <n v="30"/>
    <n v="1800"/>
    <n v="270"/>
    <m/>
    <m/>
    <n v="1530"/>
    <m/>
  </r>
  <r>
    <s v="01/13/2026 - ANGELA P._1"/>
    <d v="1899-12-30T12:05:00"/>
    <x v="29"/>
    <x v="29"/>
    <x v="45"/>
    <x v="45"/>
    <n v="40.450000000000003"/>
    <s v="PRICE 1"/>
    <n v="50"/>
    <n v="40.450000000000003"/>
    <n v="2022.5"/>
    <n v="1305.5"/>
    <m/>
    <m/>
    <n v="717"/>
    <m/>
  </r>
  <r>
    <s v="01/13/2026 - ANGELA P._1"/>
    <d v="1899-12-30T12:09:00"/>
    <x v="29"/>
    <x v="29"/>
    <x v="44"/>
    <x v="44"/>
    <n v="30"/>
    <s v="PRICE 1"/>
    <n v="10"/>
    <n v="30"/>
    <n v="300"/>
    <n v="45"/>
    <m/>
    <m/>
    <n v="255"/>
    <m/>
  </r>
  <r>
    <s v="01/13/2026 - ANGELA P._1"/>
    <d v="1899-12-30T12:10:00"/>
    <x v="29"/>
    <x v="29"/>
    <x v="42"/>
    <x v="42"/>
    <n v="35"/>
    <s v="PRICE 1"/>
    <n v="2"/>
    <n v="35"/>
    <n v="70"/>
    <n v="19.8"/>
    <m/>
    <m/>
    <n v="50.2"/>
    <m/>
  </r>
  <r>
    <s v="01/13/2026 - ANGELA P._1"/>
    <d v="1899-12-30T12:24:00"/>
    <x v="30"/>
    <x v="30"/>
    <x v="37"/>
    <x v="37"/>
    <n v="68"/>
    <s v="PRICE 1"/>
    <n v="-1"/>
    <n v="68"/>
    <n v="-68"/>
    <n v="-8"/>
    <m/>
    <m/>
    <n v="-60"/>
    <m/>
  </r>
  <r>
    <s v="01/13/2026 - ANGELA P._1"/>
    <d v="1899-12-30T12:24:00"/>
    <x v="30"/>
    <x v="30"/>
    <x v="38"/>
    <x v="38"/>
    <n v="378"/>
    <s v="PRICE 1"/>
    <n v="-1"/>
    <n v="378"/>
    <n v="-378"/>
    <n v="-78"/>
    <m/>
    <m/>
    <n v="-300"/>
    <m/>
  </r>
  <r>
    <s v="01/13/2026 - ANGELA P._1"/>
    <d v="1899-12-30T12:26:00"/>
    <x v="30"/>
    <x v="30"/>
    <x v="46"/>
    <x v="46"/>
    <n v="220"/>
    <s v="PRICE 1"/>
    <n v="1"/>
    <n v="220"/>
    <n v="220"/>
    <n v="62.92"/>
    <m/>
    <m/>
    <n v="157.08000000000001"/>
    <m/>
  </r>
  <r>
    <s v="01/13/2026 - ANGELA P._1"/>
    <d v="1899-12-30T12:26:00"/>
    <x v="30"/>
    <x v="30"/>
    <x v="47"/>
    <x v="47"/>
    <n v="64"/>
    <s v="PRICE 1"/>
    <n v="2"/>
    <n v="64"/>
    <n v="128"/>
    <n v="62.72"/>
    <m/>
    <m/>
    <n v="65.28"/>
    <m/>
  </r>
  <r>
    <s v="01/13/2026 - ANGELA P._1"/>
    <d v="1899-12-30T12:26:00"/>
    <x v="30"/>
    <x v="30"/>
    <x v="48"/>
    <x v="48"/>
    <n v="20"/>
    <s v="PRICE 1"/>
    <n v="4"/>
    <n v="20"/>
    <n v="80"/>
    <n v="50"/>
    <m/>
    <m/>
    <n v="30"/>
    <m/>
  </r>
  <r>
    <s v="01/13/2026 - ANGELA P._1"/>
    <d v="1899-12-30T12:26:00"/>
    <x v="30"/>
    <x v="30"/>
    <x v="49"/>
    <x v="49"/>
    <n v="5"/>
    <s v="PRICE 1"/>
    <n v="3"/>
    <n v="5"/>
    <n v="15"/>
    <n v="7.5"/>
    <m/>
    <m/>
    <n v="7.5"/>
    <m/>
  </r>
  <r>
    <s v="01/13/2026 - ANGELA P._1"/>
    <d v="1899-12-30T12:31:00"/>
    <x v="31"/>
    <x v="31"/>
    <x v="50"/>
    <x v="50"/>
    <n v="2380"/>
    <s v="PRICE 1"/>
    <n v="1"/>
    <n v="2380"/>
    <n v="2380"/>
    <n v="1488"/>
    <m/>
    <m/>
    <n v="892"/>
    <m/>
  </r>
  <r>
    <s v="01/13/2026 - ANGELA P._1"/>
    <d v="1899-12-30T12:41:00"/>
    <x v="32"/>
    <x v="32"/>
    <x v="51"/>
    <x v="51"/>
    <n v="28.25"/>
    <s v="PRICE 1"/>
    <n v="1"/>
    <n v="28.25"/>
    <n v="28.25"/>
    <n v="21.73"/>
    <m/>
    <m/>
    <n v="6.52"/>
    <m/>
  </r>
  <r>
    <s v="01/13/2026 - ANGELA P._1"/>
    <d v="1899-12-30T12:47:00"/>
    <x v="33"/>
    <x v="33"/>
    <x v="52"/>
    <x v="52"/>
    <n v="118"/>
    <s v="PRICE 1"/>
    <n v="1"/>
    <n v="118"/>
    <n v="118"/>
    <n v="89"/>
    <m/>
    <m/>
    <n v="29"/>
    <m/>
  </r>
  <r>
    <s v="01/13/2026 - ANGELA P._1"/>
    <d v="1899-12-30T13:15:00"/>
    <x v="34"/>
    <x v="34"/>
    <x v="50"/>
    <x v="50"/>
    <n v="2380"/>
    <s v="PRICE 1"/>
    <n v="2"/>
    <n v="2380"/>
    <n v="4760"/>
    <n v="2976"/>
    <n v="20"/>
    <n v="952"/>
    <n v="832"/>
    <s v="SC/PWD DISC"/>
  </r>
  <r>
    <s v="01/13/2026 - ANGELA P._1"/>
    <d v="1899-12-30T13:31:00"/>
    <x v="35"/>
    <x v="35"/>
    <x v="53"/>
    <x v="53"/>
    <n v="25"/>
    <s v="PRICE 1"/>
    <n v="4"/>
    <n v="25"/>
    <n v="100"/>
    <n v="54.4"/>
    <m/>
    <m/>
    <n v="45.6"/>
    <m/>
  </r>
  <r>
    <s v="01/13/2026 - ANGELA P._1"/>
    <d v="1899-12-30T13:48:00"/>
    <x v="36"/>
    <x v="36"/>
    <x v="54"/>
    <x v="54"/>
    <n v="17.88"/>
    <s v="PRICE 1"/>
    <n v="10"/>
    <n v="17.88"/>
    <n v="178.8"/>
    <n v="140"/>
    <m/>
    <m/>
    <n v="38.799999999999997"/>
    <m/>
  </r>
  <r>
    <s v="01/13/2026 - ANGELA P._1"/>
    <d v="1899-12-30T13:52:00"/>
    <x v="37"/>
    <x v="37"/>
    <x v="55"/>
    <x v="55"/>
    <n v="3"/>
    <s v="PRICE 1"/>
    <n v="60"/>
    <n v="3"/>
    <n v="180"/>
    <n v="54"/>
    <m/>
    <m/>
    <n v="126"/>
    <m/>
  </r>
  <r>
    <s v="01/13/2026 - ANGELA P._1"/>
    <d v="1899-12-30T13:52:00"/>
    <x v="37"/>
    <x v="37"/>
    <x v="56"/>
    <x v="56"/>
    <n v="28.98"/>
    <s v="PRICE 1"/>
    <n v="60"/>
    <n v="28.98"/>
    <n v="1738.8"/>
    <n v="1240.2"/>
    <m/>
    <m/>
    <n v="498.6"/>
    <m/>
  </r>
  <r>
    <s v="01/13/2026 - ANGELA P._1"/>
    <d v="1899-12-30T14:04:00"/>
    <x v="38"/>
    <x v="38"/>
    <x v="45"/>
    <x v="45"/>
    <n v="40.450000000000003"/>
    <s v="PRICE 1"/>
    <n v="20"/>
    <n v="40.450000000000003"/>
    <n v="809"/>
    <n v="522.20000000000005"/>
    <m/>
    <m/>
    <n v="286.8"/>
    <m/>
  </r>
  <r>
    <s v="01/13/2026 - ANGELA P._1"/>
    <d v="1899-12-30T14:44:00"/>
    <x v="39"/>
    <x v="39"/>
    <x v="57"/>
    <x v="57"/>
    <n v="7"/>
    <s v="PRICE 1"/>
    <n v="10"/>
    <n v="7"/>
    <n v="70"/>
    <n v="23.3"/>
    <m/>
    <m/>
    <n v="46.7"/>
    <m/>
  </r>
  <r>
    <s v="01/13/2026 - ANGELA P._1"/>
    <d v="1899-12-30T14:48:00"/>
    <x v="40"/>
    <x v="40"/>
    <x v="58"/>
    <x v="58"/>
    <n v="14"/>
    <s v="PRICE 1"/>
    <n v="1"/>
    <n v="14"/>
    <n v="14"/>
    <n v="9.49"/>
    <m/>
    <m/>
    <n v="4.51"/>
    <m/>
  </r>
  <r>
    <s v="01/13/2026 - ANGELA P._1"/>
    <d v="1899-12-30T14:49:00"/>
    <x v="41"/>
    <x v="41"/>
    <x v="59"/>
    <x v="59"/>
    <n v="30"/>
    <s v="PRICE 1"/>
    <n v="1"/>
    <n v="30"/>
    <n v="30"/>
    <n v="25.3"/>
    <m/>
    <m/>
    <n v="4.7"/>
    <m/>
  </r>
  <r>
    <s v="01/13/2026 - ANGELA P._1"/>
    <d v="1899-12-30T15:12:00"/>
    <x v="42"/>
    <x v="42"/>
    <x v="60"/>
    <x v="60"/>
    <n v="15"/>
    <s v="PRICE 1"/>
    <n v="3"/>
    <n v="15"/>
    <n v="45"/>
    <n v="7.5"/>
    <m/>
    <m/>
    <n v="37.5"/>
    <m/>
  </r>
  <r>
    <s v="01/13/2026 - ANGELA P._1"/>
    <d v="1899-12-30T15:20:00"/>
    <x v="43"/>
    <x v="43"/>
    <x v="58"/>
    <x v="58"/>
    <n v="14"/>
    <s v="PRICE 1"/>
    <n v="1"/>
    <n v="14"/>
    <n v="14"/>
    <n v="9.49"/>
    <m/>
    <m/>
    <n v="4.51"/>
    <m/>
  </r>
  <r>
    <s v="01/13/2026 - ANGELA P._1"/>
    <d v="1899-12-30T15:31:00"/>
    <x v="44"/>
    <x v="44"/>
    <x v="61"/>
    <x v="61"/>
    <n v="8.49"/>
    <s v="PRICE 1"/>
    <n v="10"/>
    <n v="8.49"/>
    <n v="84.9"/>
    <n v="80"/>
    <m/>
    <m/>
    <n v="4.9000000000000004"/>
    <m/>
  </r>
  <r>
    <s v="01/13/2026 - ANGELA P._1"/>
    <d v="1899-12-30T15:32:00"/>
    <x v="20"/>
    <x v="20"/>
    <x v="28"/>
    <x v="28"/>
    <n v="21.78"/>
    <s v="PRICE 1"/>
    <n v="20"/>
    <n v="21.78"/>
    <n v="435.6"/>
    <n v="335.4"/>
    <m/>
    <m/>
    <n v="100.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A1D33-920C-4191-BDDC-A8A7C18F57FB}" name="PivotTable3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A3:F123" firstHeaderRow="1" firstDataRow="2" firstDataCol="4"/>
  <pivotFields count="16">
    <pivotField compact="0" outline="0" showAll="0"/>
    <pivotField compact="0" numFmtId="164" outline="0" showAll="0"/>
    <pivotField axis="axisRow" compact="0" outline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1"/>
        <item x="22"/>
        <item x="23"/>
        <item x="16"/>
        <item x="24"/>
        <item x="25"/>
        <item x="26"/>
        <item x="17"/>
        <item x="27"/>
        <item x="28"/>
        <item x="29"/>
        <item x="30"/>
        <item x="31"/>
        <item x="32"/>
        <item x="33"/>
        <item x="34"/>
        <item x="18"/>
        <item x="35"/>
        <item x="19"/>
        <item x="36"/>
        <item x="37"/>
        <item x="38"/>
        <item x="39"/>
        <item x="40"/>
        <item x="41"/>
        <item x="42"/>
        <item x="43"/>
        <item x="20"/>
        <item x="44"/>
        <item t="default"/>
      </items>
    </pivotField>
    <pivotField axis="axisRow" compact="0" outline="0" showAll="0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1"/>
        <item x="22"/>
        <item x="23"/>
        <item x="24"/>
        <item x="16"/>
        <item x="25"/>
        <item x="26"/>
        <item x="17"/>
        <item x="27"/>
        <item x="28"/>
        <item x="29"/>
        <item x="30"/>
        <item x="31"/>
        <item x="32"/>
        <item x="33"/>
        <item x="34"/>
        <item x="35"/>
        <item x="18"/>
        <item x="19"/>
        <item x="36"/>
        <item x="37"/>
        <item x="38"/>
        <item x="39"/>
        <item x="40"/>
        <item x="41"/>
        <item x="42"/>
        <item x="43"/>
        <item x="44"/>
        <item x="20"/>
      </items>
    </pivotField>
    <pivotField axis="axisRow" compact="0" outline="0" showAll="0" defaultSubtotal="0">
      <items count="62">
        <item x="54"/>
        <item x="26"/>
        <item x="0"/>
        <item x="61"/>
        <item x="55"/>
        <item x="36"/>
        <item x="30"/>
        <item x="15"/>
        <item x="52"/>
        <item x="49"/>
        <item x="41"/>
        <item x="39"/>
        <item x="53"/>
        <item x="60"/>
        <item x="48"/>
        <item x="3"/>
        <item x="10"/>
        <item x="4"/>
        <item x="57"/>
        <item x="8"/>
        <item x="35"/>
        <item x="51"/>
        <item x="6"/>
        <item x="14"/>
        <item x="25"/>
        <item x="58"/>
        <item x="59"/>
        <item x="7"/>
        <item x="27"/>
        <item x="23"/>
        <item x="16"/>
        <item x="9"/>
        <item x="21"/>
        <item x="56"/>
        <item x="20"/>
        <item x="28"/>
        <item x="19"/>
        <item x="46"/>
        <item x="47"/>
        <item x="5"/>
        <item x="42"/>
        <item x="33"/>
        <item x="12"/>
        <item x="50"/>
        <item x="22"/>
        <item x="17"/>
        <item x="40"/>
        <item x="13"/>
        <item x="38"/>
        <item x="18"/>
        <item x="45"/>
        <item x="37"/>
        <item x="2"/>
        <item x="31"/>
        <item x="24"/>
        <item x="29"/>
        <item x="32"/>
        <item x="44"/>
        <item x="43"/>
        <item x="34"/>
        <item x="1"/>
        <item x="11"/>
      </items>
    </pivotField>
    <pivotField axis="axisRow" compact="0" outline="0" showAll="0">
      <items count="63">
        <item x="58"/>
        <item x="61"/>
        <item x="28"/>
        <item x="25"/>
        <item x="55"/>
        <item x="21"/>
        <item x="56"/>
        <item x="22"/>
        <item x="59"/>
        <item x="14"/>
        <item x="40"/>
        <item x="18"/>
        <item x="35"/>
        <item x="60"/>
        <item x="38"/>
        <item x="17"/>
        <item x="41"/>
        <item x="2"/>
        <item x="1"/>
        <item x="4"/>
        <item x="50"/>
        <item x="10"/>
        <item x="30"/>
        <item x="33"/>
        <item x="0"/>
        <item x="15"/>
        <item x="49"/>
        <item x="48"/>
        <item x="11"/>
        <item x="37"/>
        <item x="8"/>
        <item x="29"/>
        <item x="6"/>
        <item x="12"/>
        <item x="23"/>
        <item x="36"/>
        <item x="5"/>
        <item x="45"/>
        <item x="42"/>
        <item x="34"/>
        <item x="31"/>
        <item x="20"/>
        <item x="26"/>
        <item x="39"/>
        <item x="54"/>
        <item x="52"/>
        <item x="47"/>
        <item x="46"/>
        <item x="51"/>
        <item x="13"/>
        <item x="16"/>
        <item x="19"/>
        <item x="44"/>
        <item x="43"/>
        <item x="7"/>
        <item x="9"/>
        <item x="27"/>
        <item x="53"/>
        <item x="32"/>
        <item x="3"/>
        <item x="57"/>
        <item x="24"/>
        <item t="default"/>
      </items>
    </pivotField>
    <pivotField compact="0" numFmtId="4" outline="0" showAll="0"/>
    <pivotField compact="0" outline="0" showAll="0"/>
    <pivotField compact="0" numFmtId="4" outline="0" showAll="0"/>
    <pivotField compact="0" numFmtId="4" outline="0" showAll="0"/>
    <pivotField dataField="1" compact="0" numFmtId="4" outline="0" showAll="0"/>
    <pivotField compact="0" numFmtId="4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4">
    <field x="2"/>
    <field x="3"/>
    <field x="4"/>
    <field x="5"/>
  </rowFields>
  <rowItems count="119">
    <i>
      <x/>
      <x/>
      <x v="2"/>
      <x v="24"/>
    </i>
    <i t="default">
      <x/>
    </i>
    <i>
      <x v="1"/>
      <x v="1"/>
      <x v="52"/>
      <x v="17"/>
    </i>
    <i r="2">
      <x v="60"/>
      <x v="18"/>
    </i>
    <i t="default">
      <x v="1"/>
    </i>
    <i>
      <x v="2"/>
      <x v="2"/>
      <x v="15"/>
      <x v="59"/>
    </i>
    <i t="default">
      <x v="2"/>
    </i>
    <i>
      <x v="3"/>
      <x v="3"/>
      <x v="17"/>
      <x v="19"/>
    </i>
    <i t="default">
      <x v="3"/>
    </i>
    <i>
      <x v="4"/>
      <x v="4"/>
      <x v="22"/>
      <x v="32"/>
    </i>
    <i r="2">
      <x v="39"/>
      <x v="36"/>
    </i>
    <i t="default">
      <x v="4"/>
    </i>
    <i>
      <x v="5"/>
      <x v="5"/>
      <x v="19"/>
      <x v="30"/>
    </i>
    <i r="2">
      <x v="27"/>
      <x v="54"/>
    </i>
    <i t="default">
      <x v="5"/>
    </i>
    <i>
      <x v="6"/>
      <x v="6"/>
      <x v="31"/>
      <x v="55"/>
    </i>
    <i t="default">
      <x v="6"/>
    </i>
    <i>
      <x v="7"/>
      <x v="7"/>
      <x v="16"/>
      <x v="21"/>
    </i>
    <i t="default">
      <x v="7"/>
    </i>
    <i>
      <x v="8"/>
      <x v="8"/>
      <x v="22"/>
      <x v="32"/>
    </i>
    <i r="2">
      <x v="39"/>
      <x v="36"/>
    </i>
    <i r="2">
      <x v="42"/>
      <x v="33"/>
    </i>
    <i r="2">
      <x v="61"/>
      <x v="28"/>
    </i>
    <i t="default">
      <x v="8"/>
    </i>
    <i>
      <x v="9"/>
      <x v="9"/>
      <x v="47"/>
      <x v="49"/>
    </i>
    <i t="default">
      <x v="9"/>
    </i>
    <i>
      <x v="10"/>
      <x v="10"/>
      <x v="7"/>
      <x v="25"/>
    </i>
    <i r="2">
      <x v="23"/>
      <x v="9"/>
    </i>
    <i t="default">
      <x v="10"/>
    </i>
    <i>
      <x v="11"/>
      <x v="11"/>
      <x v="22"/>
      <x v="32"/>
    </i>
    <i t="default">
      <x v="11"/>
    </i>
    <i>
      <x v="12"/>
      <x v="12"/>
      <x v="39"/>
      <x v="36"/>
    </i>
    <i t="default">
      <x v="12"/>
    </i>
    <i>
      <x v="13"/>
      <x v="13"/>
      <x v="30"/>
      <x v="50"/>
    </i>
    <i t="default">
      <x v="13"/>
    </i>
    <i>
      <x v="14"/>
      <x v="14"/>
      <x v="45"/>
      <x v="15"/>
    </i>
    <i t="default">
      <x v="14"/>
    </i>
    <i>
      <x v="15"/>
      <x v="15"/>
      <x v="49"/>
      <x v="11"/>
    </i>
    <i t="default">
      <x v="15"/>
    </i>
    <i>
      <x v="16"/>
      <x v="16"/>
      <x v="53"/>
      <x v="40"/>
    </i>
    <i t="default">
      <x v="16"/>
    </i>
    <i>
      <x v="17"/>
      <x v="17"/>
      <x v="41"/>
      <x v="23"/>
    </i>
    <i r="2">
      <x v="56"/>
      <x v="58"/>
    </i>
    <i t="default">
      <x v="17"/>
    </i>
    <i>
      <x v="18"/>
      <x v="18"/>
      <x v="36"/>
      <x v="51"/>
    </i>
    <i r="2">
      <x v="59"/>
      <x v="39"/>
    </i>
    <i t="default">
      <x v="18"/>
    </i>
    <i>
      <x v="19"/>
      <x v="20"/>
      <x v="36"/>
      <x v="51"/>
    </i>
    <i t="default">
      <x v="19"/>
    </i>
    <i>
      <x v="20"/>
      <x v="19"/>
      <x v="20"/>
      <x v="12"/>
    </i>
    <i t="default">
      <x v="20"/>
    </i>
    <i>
      <x v="21"/>
      <x v="21"/>
      <x v="5"/>
      <x v="35"/>
    </i>
    <i t="default">
      <x v="21"/>
    </i>
    <i>
      <x v="22"/>
      <x v="22"/>
      <x v="48"/>
      <x v="14"/>
    </i>
    <i r="2">
      <x v="51"/>
      <x v="29"/>
    </i>
    <i t="default">
      <x v="22"/>
    </i>
    <i>
      <x v="23"/>
      <x v="23"/>
      <x v="32"/>
      <x v="5"/>
    </i>
    <i r="2">
      <x v="34"/>
      <x v="41"/>
    </i>
    <i t="default">
      <x v="23"/>
    </i>
    <i>
      <x v="24"/>
      <x v="24"/>
      <x v="11"/>
      <x v="43"/>
    </i>
    <i t="default">
      <x v="24"/>
    </i>
    <i>
      <x v="25"/>
      <x v="25"/>
      <x v="46"/>
      <x v="10"/>
    </i>
    <i t="default">
      <x v="25"/>
    </i>
    <i>
      <x v="26"/>
      <x v="26"/>
      <x v="10"/>
      <x v="16"/>
    </i>
    <i r="2">
      <x v="32"/>
      <x v="5"/>
    </i>
    <i r="2">
      <x v="40"/>
      <x v="38"/>
    </i>
    <i r="2">
      <x v="50"/>
      <x v="37"/>
    </i>
    <i r="2">
      <x v="57"/>
      <x v="52"/>
    </i>
    <i r="2">
      <x v="58"/>
      <x v="53"/>
    </i>
    <i t="default">
      <x v="26"/>
    </i>
    <i>
      <x v="27"/>
      <x v="27"/>
      <x v="9"/>
      <x v="26"/>
    </i>
    <i r="2">
      <x v="14"/>
      <x v="27"/>
    </i>
    <i r="2">
      <x v="37"/>
      <x v="47"/>
    </i>
    <i r="2">
      <x v="38"/>
      <x v="46"/>
    </i>
    <i r="2">
      <x v="48"/>
      <x v="14"/>
    </i>
    <i r="2">
      <x v="51"/>
      <x v="29"/>
    </i>
    <i t="default">
      <x v="27"/>
    </i>
    <i>
      <x v="28"/>
      <x v="28"/>
      <x v="43"/>
      <x v="20"/>
    </i>
    <i t="default">
      <x v="28"/>
    </i>
    <i>
      <x v="29"/>
      <x v="29"/>
      <x v="21"/>
      <x v="48"/>
    </i>
    <i t="default">
      <x v="29"/>
    </i>
    <i>
      <x v="30"/>
      <x v="30"/>
      <x v="8"/>
      <x v="45"/>
    </i>
    <i t="default">
      <x v="30"/>
    </i>
    <i>
      <x v="31"/>
      <x v="31"/>
      <x v="43"/>
      <x v="20"/>
    </i>
    <i t="default">
      <x v="31"/>
    </i>
    <i>
      <x v="32"/>
      <x v="33"/>
      <x v="1"/>
      <x v="42"/>
    </i>
    <i r="2">
      <x v="24"/>
      <x v="3"/>
    </i>
    <i r="2">
      <x v="29"/>
      <x v="34"/>
    </i>
    <i r="2">
      <x v="44"/>
      <x v="7"/>
    </i>
    <i r="2">
      <x v="54"/>
      <x v="61"/>
    </i>
    <i t="default">
      <x v="32"/>
    </i>
    <i>
      <x v="33"/>
      <x v="32"/>
      <x v="12"/>
      <x v="57"/>
    </i>
    <i t="default">
      <x v="33"/>
    </i>
    <i>
      <x v="34"/>
      <x v="34"/>
      <x v="28"/>
      <x v="56"/>
    </i>
    <i t="default">
      <x v="34"/>
    </i>
    <i>
      <x v="35"/>
      <x v="35"/>
      <x/>
      <x v="44"/>
    </i>
    <i t="default">
      <x v="35"/>
    </i>
    <i>
      <x v="36"/>
      <x v="36"/>
      <x v="4"/>
      <x v="4"/>
    </i>
    <i r="2">
      <x v="33"/>
      <x v="6"/>
    </i>
    <i t="default">
      <x v="36"/>
    </i>
    <i>
      <x v="37"/>
      <x v="37"/>
      <x v="50"/>
      <x v="37"/>
    </i>
    <i t="default">
      <x v="37"/>
    </i>
    <i>
      <x v="38"/>
      <x v="38"/>
      <x v="18"/>
      <x v="60"/>
    </i>
    <i t="default">
      <x v="38"/>
    </i>
    <i>
      <x v="39"/>
      <x v="39"/>
      <x v="25"/>
      <x/>
    </i>
    <i t="default">
      <x v="39"/>
    </i>
    <i>
      <x v="40"/>
      <x v="40"/>
      <x v="26"/>
      <x v="8"/>
    </i>
    <i t="default">
      <x v="40"/>
    </i>
    <i>
      <x v="41"/>
      <x v="41"/>
      <x v="13"/>
      <x v="13"/>
    </i>
    <i t="default">
      <x v="41"/>
    </i>
    <i>
      <x v="42"/>
      <x v="42"/>
      <x v="25"/>
      <x/>
    </i>
    <i t="default">
      <x v="42"/>
    </i>
    <i>
      <x v="43"/>
      <x v="44"/>
      <x v="6"/>
      <x v="22"/>
    </i>
    <i r="2">
      <x v="35"/>
      <x v="2"/>
    </i>
    <i r="2">
      <x v="55"/>
      <x v="31"/>
    </i>
    <i t="default">
      <x v="43"/>
    </i>
    <i>
      <x v="44"/>
      <x v="43"/>
      <x v="3"/>
      <x v="1"/>
    </i>
    <i t="default"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SALES" fld="10" baseField="0" baseItem="0" numFmtId="4"/>
    <dataField name="Sum of DISCOUNT AMT." fld="13" baseField="0" baseItem="0"/>
  </dataFields>
  <formats count="4">
    <format dxfId="3">
      <pivotArea outline="0" fieldPosition="0">
        <references count="2">
          <reference field="4294967294" count="1" selected="0">
            <x v="0"/>
          </reference>
          <reference field="2" count="1" selected="0" defaultSubtotal="1">
            <x v="26"/>
          </reference>
        </references>
      </pivotArea>
    </format>
    <format dxfId="2">
      <pivotArea outline="0" fieldPosition="0">
        <references count="2">
          <reference field="4294967294" count="1" selected="0">
            <x v="0"/>
          </reference>
          <reference field="2" count="1" selected="0" defaultSubtotal="1">
            <x v="32"/>
          </reference>
        </references>
      </pivotArea>
    </format>
    <format dxfId="1">
      <pivotArea outline="0" fieldPosition="0">
        <references count="2">
          <reference field="4294967294" count="1" selected="0">
            <x v="0"/>
          </reference>
          <reference field="2" count="1" selected="0" defaultSubtotal="1">
            <x v="5"/>
          </reference>
        </references>
      </pivotArea>
    </format>
    <format dxfId="0">
      <pivotArea outline="0" fieldPosition="0">
        <references count="2">
          <reference field="4294967294" count="1" selected="0">
            <x v="0"/>
          </reference>
          <reference field="2" count="1" selected="0" defaultSubtotal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7579"/>
  <sheetViews>
    <sheetView tabSelected="1" zoomScale="85" zoomScaleNormal="85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E12" sqref="E12"/>
    </sheetView>
  </sheetViews>
  <sheetFormatPr defaultRowHeight="15" x14ac:dyDescent="0.25"/>
  <cols>
    <col min="1" max="1" width="14" customWidth="1"/>
    <col min="2" max="2" width="11" style="8" customWidth="1"/>
    <col min="3" max="3" width="13.28515625" style="8" customWidth="1"/>
    <col min="4" max="4" width="11" customWidth="1"/>
    <col min="5" max="5" width="14.140625" style="4" customWidth="1"/>
    <col min="6" max="6" width="15.140625" style="4" customWidth="1"/>
    <col min="7" max="7" width="42.7109375" style="4" customWidth="1"/>
    <col min="8" max="8" width="13.7109375" style="4" customWidth="1"/>
    <col min="9" max="9" width="11.42578125" style="4" customWidth="1"/>
    <col min="10" max="10" width="9.5703125" style="4" customWidth="1"/>
    <col min="11" max="11" width="11" style="4" customWidth="1"/>
    <col min="12" max="12" width="19.5703125" style="4" customWidth="1"/>
    <col min="13" max="13" width="12" style="4" customWidth="1"/>
    <col min="14" max="14" width="12.28515625" style="4" customWidth="1"/>
    <col min="15" max="15" width="15.5703125" style="4" bestFit="1" customWidth="1"/>
    <col min="16" max="16" width="11.140625" style="4" bestFit="1" customWidth="1"/>
    <col min="17" max="17" width="14.5703125" style="4" bestFit="1" customWidth="1"/>
    <col min="18" max="18" width="25.140625" style="4" customWidth="1"/>
    <col min="19" max="27" width="1.85546875" style="4" customWidth="1"/>
  </cols>
  <sheetData>
    <row r="1" spans="1:27" s="1" customFormat="1" x14ac:dyDescent="0.25">
      <c r="A1" s="1" t="s">
        <v>0</v>
      </c>
      <c r="B1" s="8"/>
      <c r="C1" s="8"/>
      <c r="E1" s="5"/>
      <c r="F1" s="5"/>
      <c r="G1" s="5"/>
      <c r="H1" s="5"/>
      <c r="I1" s="5"/>
      <c r="J1" s="5"/>
      <c r="K1" s="5"/>
      <c r="L1" s="10"/>
      <c r="M1" s="10"/>
      <c r="N1" s="10"/>
      <c r="O1" s="10"/>
      <c r="P1" s="10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25">
      <c r="A2" t="s">
        <v>1</v>
      </c>
      <c r="L2" s="7"/>
      <c r="M2" s="7"/>
      <c r="N2" s="7"/>
      <c r="O2" s="7"/>
      <c r="P2" s="7"/>
    </row>
    <row r="3" spans="1:27" x14ac:dyDescent="0.25">
      <c r="L3" s="7"/>
      <c r="M3" s="7"/>
      <c r="N3" s="7"/>
      <c r="O3" s="7"/>
      <c r="P3" s="7"/>
    </row>
    <row r="4" spans="1:27" x14ac:dyDescent="0.25">
      <c r="A4" t="s">
        <v>2</v>
      </c>
      <c r="L4" s="7"/>
      <c r="M4" s="7"/>
      <c r="N4" s="7"/>
      <c r="O4" s="7"/>
      <c r="P4" s="7"/>
    </row>
    <row r="5" spans="1:27" x14ac:dyDescent="0.25">
      <c r="L5" s="7"/>
      <c r="M5" s="7"/>
      <c r="N5" s="7"/>
      <c r="O5" s="7"/>
      <c r="P5" s="7"/>
    </row>
    <row r="7" spans="1:27" x14ac:dyDescent="0.25">
      <c r="E7" s="21"/>
      <c r="F7" s="21"/>
    </row>
    <row r="8" spans="1:27" s="24" customFormat="1" x14ac:dyDescent="0.25">
      <c r="A8" s="24" t="s">
        <v>465</v>
      </c>
      <c r="B8" s="25" t="s">
        <v>3</v>
      </c>
      <c r="C8" s="25" t="s">
        <v>466</v>
      </c>
      <c r="D8" s="24" t="s">
        <v>4</v>
      </c>
      <c r="E8" s="10" t="s">
        <v>5</v>
      </c>
      <c r="F8" s="10" t="s">
        <v>6</v>
      </c>
      <c r="G8" s="10" t="s">
        <v>7</v>
      </c>
      <c r="H8" s="10" t="s">
        <v>8</v>
      </c>
      <c r="I8" s="10" t="s">
        <v>9</v>
      </c>
      <c r="J8" s="10" t="s">
        <v>10</v>
      </c>
      <c r="K8" s="10" t="s">
        <v>11</v>
      </c>
      <c r="L8" s="10" t="s">
        <v>12</v>
      </c>
      <c r="M8" s="10" t="s">
        <v>13</v>
      </c>
      <c r="N8" s="10" t="s">
        <v>14</v>
      </c>
      <c r="O8" s="10" t="s">
        <v>15</v>
      </c>
      <c r="P8" s="10" t="s">
        <v>16</v>
      </c>
      <c r="Q8" s="10" t="s">
        <v>17</v>
      </c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s="1" customFormat="1" x14ac:dyDescent="0.25">
      <c r="A9" s="2" t="s">
        <v>467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5">
      <c r="A10" s="2" t="s">
        <v>467</v>
      </c>
      <c r="B10" s="22">
        <v>0.2673611111111111</v>
      </c>
      <c r="C10" s="22" t="s">
        <v>430</v>
      </c>
      <c r="D10" s="3" t="s">
        <v>387</v>
      </c>
      <c r="E10" s="6" t="s">
        <v>388</v>
      </c>
      <c r="F10" s="6" t="s">
        <v>58</v>
      </c>
      <c r="G10" s="6" t="s">
        <v>47</v>
      </c>
      <c r="H10" s="4">
        <v>54</v>
      </c>
      <c r="I10" s="4" t="s">
        <v>18</v>
      </c>
      <c r="J10" s="4">
        <v>1</v>
      </c>
      <c r="K10" s="4">
        <v>54</v>
      </c>
      <c r="L10" s="4">
        <v>54</v>
      </c>
      <c r="M10" s="4">
        <v>49</v>
      </c>
      <c r="P10" s="4">
        <v>5</v>
      </c>
    </row>
    <row r="11" spans="1:27" x14ac:dyDescent="0.25">
      <c r="A11" s="2" t="s">
        <v>467</v>
      </c>
      <c r="B11" s="22">
        <v>0.2673611111111111</v>
      </c>
      <c r="C11" s="22" t="s">
        <v>430</v>
      </c>
      <c r="D11" s="3" t="s">
        <v>387</v>
      </c>
      <c r="E11" s="6" t="s">
        <v>388</v>
      </c>
      <c r="F11" s="6" t="s">
        <v>337</v>
      </c>
      <c r="G11" s="6" t="s">
        <v>338</v>
      </c>
      <c r="H11" s="4">
        <v>54</v>
      </c>
      <c r="I11" s="4" t="s">
        <v>18</v>
      </c>
      <c r="J11" s="4">
        <v>1</v>
      </c>
      <c r="K11" s="4">
        <v>54</v>
      </c>
      <c r="L11" s="4">
        <v>54</v>
      </c>
      <c r="M11" s="4">
        <v>48.29</v>
      </c>
      <c r="P11" s="4">
        <v>5.71</v>
      </c>
    </row>
    <row r="12" spans="1:27" x14ac:dyDescent="0.25">
      <c r="A12" s="2" t="s">
        <v>467</v>
      </c>
      <c r="B12" s="22">
        <v>0.30763888888888891</v>
      </c>
      <c r="C12" s="22" t="s">
        <v>430</v>
      </c>
      <c r="D12" s="3" t="s">
        <v>389</v>
      </c>
      <c r="E12" s="6" t="s">
        <v>390</v>
      </c>
      <c r="F12" s="6" t="s">
        <v>325</v>
      </c>
      <c r="G12" s="6" t="s">
        <v>326</v>
      </c>
      <c r="H12" s="4">
        <v>19</v>
      </c>
      <c r="I12" s="4" t="s">
        <v>18</v>
      </c>
      <c r="J12" s="4">
        <v>4</v>
      </c>
      <c r="K12" s="4">
        <v>19</v>
      </c>
      <c r="L12" s="4">
        <v>76</v>
      </c>
      <c r="M12" s="4">
        <v>7.8</v>
      </c>
      <c r="P12" s="4">
        <v>68.2</v>
      </c>
    </row>
    <row r="13" spans="1:27" x14ac:dyDescent="0.25">
      <c r="A13" s="2" t="s">
        <v>467</v>
      </c>
      <c r="B13" s="22">
        <v>0.30833333333333335</v>
      </c>
      <c r="C13" s="22" t="s">
        <v>430</v>
      </c>
      <c r="D13" s="3" t="s">
        <v>391</v>
      </c>
      <c r="E13" s="6" t="s">
        <v>392</v>
      </c>
      <c r="F13" s="6" t="s">
        <v>379</v>
      </c>
      <c r="G13" s="6" t="s">
        <v>380</v>
      </c>
      <c r="H13" s="4">
        <v>17</v>
      </c>
      <c r="I13" s="4" t="s">
        <v>18</v>
      </c>
      <c r="J13" s="4">
        <v>1</v>
      </c>
      <c r="K13" s="4">
        <v>17</v>
      </c>
      <c r="L13" s="4">
        <v>17</v>
      </c>
      <c r="M13" s="4">
        <v>13.3</v>
      </c>
      <c r="P13" s="4">
        <v>3.7</v>
      </c>
    </row>
    <row r="14" spans="1:27" x14ac:dyDescent="0.25">
      <c r="A14" s="2" t="s">
        <v>467</v>
      </c>
      <c r="B14" s="22">
        <v>0.31944444444444442</v>
      </c>
      <c r="C14" s="22" t="s">
        <v>430</v>
      </c>
      <c r="D14" s="3" t="s">
        <v>393</v>
      </c>
      <c r="E14" s="6" t="s">
        <v>394</v>
      </c>
      <c r="F14" s="6" t="s">
        <v>347</v>
      </c>
      <c r="G14" s="6" t="s">
        <v>348</v>
      </c>
      <c r="H14" s="4">
        <v>2.5</v>
      </c>
      <c r="I14" s="4" t="s">
        <v>18</v>
      </c>
      <c r="J14" s="4">
        <v>2</v>
      </c>
      <c r="K14" s="4">
        <v>2.5</v>
      </c>
      <c r="L14" s="4">
        <v>5</v>
      </c>
      <c r="M14" s="4">
        <v>1.46</v>
      </c>
      <c r="P14" s="4">
        <v>3.54</v>
      </c>
    </row>
    <row r="15" spans="1:27" x14ac:dyDescent="0.25">
      <c r="A15" s="2" t="s">
        <v>467</v>
      </c>
      <c r="B15" s="22">
        <v>0.34097222222222223</v>
      </c>
      <c r="C15" s="22" t="s">
        <v>430</v>
      </c>
      <c r="D15" s="3" t="s">
        <v>395</v>
      </c>
      <c r="E15" s="6" t="s">
        <v>396</v>
      </c>
      <c r="F15" s="6" t="s">
        <v>102</v>
      </c>
      <c r="G15" s="6" t="s">
        <v>103</v>
      </c>
      <c r="H15" s="4">
        <v>98</v>
      </c>
      <c r="I15" s="4" t="s">
        <v>18</v>
      </c>
      <c r="J15" s="4">
        <v>1</v>
      </c>
      <c r="K15" s="4">
        <v>98</v>
      </c>
      <c r="L15" s="4">
        <v>98</v>
      </c>
      <c r="M15" s="4">
        <v>72</v>
      </c>
      <c r="P15" s="4">
        <v>26</v>
      </c>
    </row>
    <row r="16" spans="1:27" x14ac:dyDescent="0.25">
      <c r="A16" s="2" t="s">
        <v>467</v>
      </c>
      <c r="B16" s="22">
        <v>0.35416666666666669</v>
      </c>
      <c r="C16" s="22" t="s">
        <v>430</v>
      </c>
      <c r="D16" s="3" t="s">
        <v>397</v>
      </c>
      <c r="E16" s="6" t="s">
        <v>398</v>
      </c>
      <c r="F16" s="6" t="s">
        <v>51</v>
      </c>
      <c r="G16" s="6" t="s">
        <v>38</v>
      </c>
      <c r="H16" s="4">
        <v>136</v>
      </c>
      <c r="I16" s="4" t="s">
        <v>18</v>
      </c>
      <c r="J16" s="4">
        <v>1</v>
      </c>
      <c r="K16" s="4">
        <v>136</v>
      </c>
      <c r="L16" s="4">
        <v>136</v>
      </c>
      <c r="M16" s="4">
        <v>118.24</v>
      </c>
      <c r="P16" s="4">
        <v>17.760000000000002</v>
      </c>
    </row>
    <row r="17" spans="1:112" x14ac:dyDescent="0.25">
      <c r="A17" s="2" t="s">
        <v>467</v>
      </c>
      <c r="B17" s="22">
        <v>0.38958333333333334</v>
      </c>
      <c r="C17" s="22" t="s">
        <v>430</v>
      </c>
      <c r="D17" s="3" t="s">
        <v>399</v>
      </c>
      <c r="E17" s="6" t="s">
        <v>400</v>
      </c>
      <c r="F17" s="6" t="s">
        <v>343</v>
      </c>
      <c r="G17" s="6" t="s">
        <v>344</v>
      </c>
      <c r="H17" s="4">
        <v>97.5</v>
      </c>
      <c r="I17" s="4" t="s">
        <v>18</v>
      </c>
      <c r="J17" s="4">
        <v>2</v>
      </c>
      <c r="K17" s="4">
        <v>97.5</v>
      </c>
      <c r="L17" s="4">
        <v>195</v>
      </c>
      <c r="M17" s="4">
        <v>40</v>
      </c>
      <c r="N17" s="4">
        <v>20</v>
      </c>
      <c r="O17" s="4">
        <v>39</v>
      </c>
      <c r="P17" s="4">
        <v>116</v>
      </c>
      <c r="Q17" s="4" t="s">
        <v>19</v>
      </c>
    </row>
    <row r="18" spans="1:112" x14ac:dyDescent="0.25">
      <c r="A18" s="2" t="s">
        <v>467</v>
      </c>
      <c r="B18" s="22">
        <v>0.38958333333333334</v>
      </c>
      <c r="C18" s="22" t="s">
        <v>430</v>
      </c>
      <c r="D18" s="3" t="s">
        <v>399</v>
      </c>
      <c r="E18" s="6" t="s">
        <v>400</v>
      </c>
      <c r="F18" s="6" t="s">
        <v>345</v>
      </c>
      <c r="G18" s="6" t="s">
        <v>346</v>
      </c>
      <c r="H18" s="4">
        <v>68</v>
      </c>
      <c r="I18" s="4" t="s">
        <v>18</v>
      </c>
      <c r="J18" s="4">
        <v>2</v>
      </c>
      <c r="K18" s="4">
        <v>68</v>
      </c>
      <c r="L18" s="4">
        <v>136</v>
      </c>
      <c r="M18" s="4">
        <v>85</v>
      </c>
      <c r="N18" s="4">
        <v>20</v>
      </c>
      <c r="O18" s="4">
        <v>27.2</v>
      </c>
      <c r="P18" s="4">
        <v>23.8</v>
      </c>
      <c r="Q18" s="4" t="s">
        <v>19</v>
      </c>
    </row>
    <row r="19" spans="1:112" s="1" customFormat="1" x14ac:dyDescent="0.25">
      <c r="A19" s="2" t="s">
        <v>467</v>
      </c>
      <c r="E19" s="5" t="s">
        <v>22</v>
      </c>
      <c r="F19" s="5"/>
      <c r="G19" s="5" t="s">
        <v>22</v>
      </c>
      <c r="H19" s="5"/>
      <c r="I19" s="5"/>
      <c r="J19" s="5">
        <v>15</v>
      </c>
      <c r="K19" s="5"/>
      <c r="L19" s="5">
        <v>771</v>
      </c>
      <c r="M19" s="5">
        <v>435.09</v>
      </c>
      <c r="N19" s="5"/>
      <c r="O19" s="5">
        <v>66.2</v>
      </c>
      <c r="P19" s="5">
        <v>269.70999999999998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DH19" s="1">
        <v>462.82</v>
      </c>
    </row>
    <row r="20" spans="1:112" s="1" customFormat="1" x14ac:dyDescent="0.25">
      <c r="A20" s="2" t="s">
        <v>467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112" x14ac:dyDescent="0.25">
      <c r="A21" s="2" t="s">
        <v>467</v>
      </c>
      <c r="B21" s="22">
        <v>0.74652777777777779</v>
      </c>
      <c r="C21" s="22" t="s">
        <v>429</v>
      </c>
      <c r="D21" s="3" t="s">
        <v>401</v>
      </c>
      <c r="E21" s="6" t="s">
        <v>402</v>
      </c>
      <c r="F21" s="6" t="s">
        <v>331</v>
      </c>
      <c r="G21" s="6" t="s">
        <v>332</v>
      </c>
      <c r="H21" s="4">
        <v>25</v>
      </c>
      <c r="I21" s="4" t="s">
        <v>18</v>
      </c>
      <c r="J21" s="4">
        <v>3</v>
      </c>
      <c r="K21" s="4">
        <v>25</v>
      </c>
      <c r="L21" s="4">
        <v>75</v>
      </c>
      <c r="M21" s="4">
        <v>45</v>
      </c>
      <c r="P21" s="4">
        <v>30</v>
      </c>
    </row>
    <row r="22" spans="1:112" x14ac:dyDescent="0.25">
      <c r="A22" s="2" t="s">
        <v>467</v>
      </c>
      <c r="B22" s="22">
        <v>0.74930555555555556</v>
      </c>
      <c r="C22" s="22" t="s">
        <v>429</v>
      </c>
      <c r="D22" s="3" t="s">
        <v>403</v>
      </c>
      <c r="E22" s="6" t="s">
        <v>404</v>
      </c>
      <c r="F22" s="6" t="s">
        <v>325</v>
      </c>
      <c r="G22" s="6" t="s">
        <v>326</v>
      </c>
      <c r="H22" s="4">
        <v>19</v>
      </c>
      <c r="I22" s="4" t="s">
        <v>18</v>
      </c>
      <c r="J22" s="4">
        <v>5</v>
      </c>
      <c r="K22" s="4">
        <v>19</v>
      </c>
      <c r="L22" s="4">
        <v>95</v>
      </c>
      <c r="M22" s="4">
        <v>9.75</v>
      </c>
      <c r="P22" s="4">
        <v>85.25</v>
      </c>
    </row>
    <row r="23" spans="1:112" x14ac:dyDescent="0.25">
      <c r="A23" s="2" t="s">
        <v>467</v>
      </c>
      <c r="B23" s="22">
        <v>0.75138888888888888</v>
      </c>
      <c r="C23" s="22" t="s">
        <v>429</v>
      </c>
      <c r="D23" s="3" t="s">
        <v>405</v>
      </c>
      <c r="E23" s="6" t="s">
        <v>406</v>
      </c>
      <c r="F23" s="6" t="s">
        <v>66</v>
      </c>
      <c r="G23" s="6" t="s">
        <v>67</v>
      </c>
      <c r="H23" s="4">
        <v>7</v>
      </c>
      <c r="I23" s="4" t="s">
        <v>18</v>
      </c>
      <c r="J23" s="4">
        <v>10</v>
      </c>
      <c r="K23" s="4">
        <v>7</v>
      </c>
      <c r="L23" s="4">
        <v>70</v>
      </c>
      <c r="M23" s="4">
        <v>26</v>
      </c>
      <c r="P23" s="4">
        <v>44</v>
      </c>
    </row>
    <row r="24" spans="1:112" x14ac:dyDescent="0.25">
      <c r="A24" s="2" t="s">
        <v>467</v>
      </c>
      <c r="B24" s="22">
        <v>0.75138888888888888</v>
      </c>
      <c r="C24" s="22" t="s">
        <v>429</v>
      </c>
      <c r="D24" s="3" t="s">
        <v>405</v>
      </c>
      <c r="E24" s="6" t="s">
        <v>406</v>
      </c>
      <c r="F24" s="6" t="s">
        <v>80</v>
      </c>
      <c r="G24" s="6" t="s">
        <v>81</v>
      </c>
      <c r="H24" s="4">
        <v>85</v>
      </c>
      <c r="I24" s="4" t="s">
        <v>18</v>
      </c>
      <c r="J24" s="4">
        <v>1</v>
      </c>
      <c r="K24" s="4">
        <v>85</v>
      </c>
      <c r="L24" s="4">
        <v>85</v>
      </c>
      <c r="M24" s="4">
        <v>68</v>
      </c>
      <c r="P24" s="4">
        <v>17</v>
      </c>
    </row>
    <row r="25" spans="1:112" x14ac:dyDescent="0.25">
      <c r="A25" s="2" t="s">
        <v>467</v>
      </c>
      <c r="B25" s="22">
        <v>0.77083333333333337</v>
      </c>
      <c r="C25" s="22" t="s">
        <v>429</v>
      </c>
      <c r="D25" s="3" t="s">
        <v>407</v>
      </c>
      <c r="E25" s="6" t="s">
        <v>408</v>
      </c>
      <c r="F25" s="6" t="s">
        <v>53</v>
      </c>
      <c r="G25" s="6" t="s">
        <v>39</v>
      </c>
      <c r="H25" s="4">
        <v>32</v>
      </c>
      <c r="I25" s="4" t="s">
        <v>18</v>
      </c>
      <c r="J25" s="4">
        <v>15</v>
      </c>
      <c r="K25" s="4">
        <v>32</v>
      </c>
      <c r="L25" s="4">
        <v>480</v>
      </c>
      <c r="M25" s="4">
        <v>146.1</v>
      </c>
      <c r="P25" s="4">
        <v>333.9</v>
      </c>
    </row>
    <row r="26" spans="1:112" x14ac:dyDescent="0.25">
      <c r="A26" s="2" t="s">
        <v>467</v>
      </c>
      <c r="B26" s="22">
        <v>0.77222222222222225</v>
      </c>
      <c r="C26" s="22" t="s">
        <v>429</v>
      </c>
      <c r="D26" s="3" t="s">
        <v>409</v>
      </c>
      <c r="E26" s="6" t="s">
        <v>410</v>
      </c>
      <c r="F26" s="6" t="s">
        <v>33</v>
      </c>
      <c r="G26" s="6" t="s">
        <v>34</v>
      </c>
      <c r="H26" s="4">
        <v>16</v>
      </c>
      <c r="I26" s="4" t="s">
        <v>18</v>
      </c>
      <c r="J26" s="4">
        <v>1</v>
      </c>
      <c r="K26" s="4">
        <v>16</v>
      </c>
      <c r="L26" s="4">
        <v>16</v>
      </c>
      <c r="M26" s="4">
        <v>10.029999999999999</v>
      </c>
      <c r="P26" s="4">
        <v>5.97</v>
      </c>
    </row>
    <row r="27" spans="1:112" x14ac:dyDescent="0.25">
      <c r="A27" s="2" t="s">
        <v>467</v>
      </c>
      <c r="B27" s="22">
        <v>0.77500000000000002</v>
      </c>
      <c r="C27" s="22" t="s">
        <v>429</v>
      </c>
      <c r="D27" s="3" t="s">
        <v>411</v>
      </c>
      <c r="E27" s="6" t="s">
        <v>412</v>
      </c>
      <c r="F27" s="6" t="s">
        <v>323</v>
      </c>
      <c r="G27" s="6" t="s">
        <v>324</v>
      </c>
      <c r="H27" s="4">
        <v>11</v>
      </c>
      <c r="I27" s="4" t="s">
        <v>18</v>
      </c>
      <c r="J27" s="4">
        <v>1</v>
      </c>
      <c r="K27" s="4">
        <v>11</v>
      </c>
      <c r="L27" s="4">
        <v>11</v>
      </c>
      <c r="M27" s="4">
        <v>8.1300000000000008</v>
      </c>
      <c r="P27" s="4">
        <v>2.87</v>
      </c>
    </row>
    <row r="28" spans="1:112" x14ac:dyDescent="0.25">
      <c r="A28" s="2" t="s">
        <v>467</v>
      </c>
      <c r="B28" s="22">
        <v>0.77708333333333335</v>
      </c>
      <c r="C28" s="22" t="s">
        <v>429</v>
      </c>
      <c r="D28" s="3" t="s">
        <v>413</v>
      </c>
      <c r="E28" s="6" t="s">
        <v>414</v>
      </c>
      <c r="F28" s="6" t="s">
        <v>30</v>
      </c>
      <c r="G28" s="6" t="s">
        <v>31</v>
      </c>
      <c r="H28" s="4">
        <v>50</v>
      </c>
      <c r="I28" s="4" t="s">
        <v>18</v>
      </c>
      <c r="J28" s="4">
        <v>1</v>
      </c>
      <c r="K28" s="4">
        <v>50</v>
      </c>
      <c r="L28" s="4">
        <v>50</v>
      </c>
      <c r="M28" s="4">
        <v>5.85</v>
      </c>
      <c r="P28" s="4">
        <v>44.15</v>
      </c>
    </row>
    <row r="29" spans="1:112" x14ac:dyDescent="0.25">
      <c r="A29" s="2" t="s">
        <v>467</v>
      </c>
      <c r="B29" s="22">
        <v>0.78472222222222221</v>
      </c>
      <c r="C29" s="22" t="s">
        <v>429</v>
      </c>
      <c r="D29" s="3" t="s">
        <v>415</v>
      </c>
      <c r="E29" s="6" t="s">
        <v>416</v>
      </c>
      <c r="F29" s="6" t="s">
        <v>82</v>
      </c>
      <c r="G29" s="6" t="s">
        <v>83</v>
      </c>
      <c r="H29" s="4">
        <v>75</v>
      </c>
      <c r="I29" s="4" t="s">
        <v>18</v>
      </c>
      <c r="J29" s="4">
        <v>1</v>
      </c>
      <c r="K29" s="4">
        <v>75</v>
      </c>
      <c r="L29" s="4">
        <v>75</v>
      </c>
      <c r="M29" s="4">
        <v>45.83</v>
      </c>
      <c r="P29" s="4">
        <v>29.17</v>
      </c>
    </row>
    <row r="30" spans="1:112" x14ac:dyDescent="0.25">
      <c r="A30" s="2" t="s">
        <v>467</v>
      </c>
      <c r="B30" s="22">
        <v>0.78749999999999998</v>
      </c>
      <c r="C30" s="22" t="s">
        <v>429</v>
      </c>
      <c r="D30" s="3" t="s">
        <v>417</v>
      </c>
      <c r="E30" s="6" t="s">
        <v>418</v>
      </c>
      <c r="F30" s="6" t="s">
        <v>383</v>
      </c>
      <c r="G30" s="6" t="s">
        <v>384</v>
      </c>
      <c r="H30" s="4">
        <v>25</v>
      </c>
      <c r="I30" s="4" t="s">
        <v>18</v>
      </c>
      <c r="J30" s="4">
        <v>3</v>
      </c>
      <c r="K30" s="4">
        <v>25</v>
      </c>
      <c r="L30" s="4">
        <v>75</v>
      </c>
      <c r="M30" s="4">
        <v>44.55</v>
      </c>
      <c r="P30" s="4">
        <v>30.45</v>
      </c>
    </row>
    <row r="31" spans="1:112" x14ac:dyDescent="0.25">
      <c r="A31" s="2" t="s">
        <v>467</v>
      </c>
      <c r="B31" s="22">
        <v>0.81527777777777777</v>
      </c>
      <c r="C31" s="22" t="s">
        <v>429</v>
      </c>
      <c r="D31" s="3" t="s">
        <v>419</v>
      </c>
      <c r="E31" s="6" t="s">
        <v>420</v>
      </c>
      <c r="F31" s="6" t="s">
        <v>270</v>
      </c>
      <c r="G31" s="6" t="s">
        <v>271</v>
      </c>
      <c r="H31" s="4">
        <v>8</v>
      </c>
      <c r="I31" s="4" t="s">
        <v>18</v>
      </c>
      <c r="J31" s="4">
        <v>1</v>
      </c>
      <c r="K31" s="4">
        <v>8</v>
      </c>
      <c r="L31" s="4">
        <v>8</v>
      </c>
      <c r="M31" s="4">
        <v>4.6100000000000003</v>
      </c>
      <c r="P31" s="4">
        <v>3.39</v>
      </c>
    </row>
    <row r="32" spans="1:112" x14ac:dyDescent="0.25">
      <c r="A32" s="2" t="s">
        <v>467</v>
      </c>
      <c r="B32" s="22">
        <v>0.82430555555555551</v>
      </c>
      <c r="C32" s="22" t="s">
        <v>429</v>
      </c>
      <c r="D32" s="3" t="s">
        <v>421</v>
      </c>
      <c r="E32" s="6" t="s">
        <v>422</v>
      </c>
      <c r="F32" s="6" t="s">
        <v>329</v>
      </c>
      <c r="G32" s="6" t="s">
        <v>330</v>
      </c>
      <c r="H32" s="4">
        <v>12</v>
      </c>
      <c r="I32" s="4" t="s">
        <v>18</v>
      </c>
      <c r="J32" s="4">
        <v>4</v>
      </c>
      <c r="K32" s="4">
        <v>12</v>
      </c>
      <c r="L32" s="4">
        <v>48</v>
      </c>
      <c r="M32" s="4">
        <v>6.32</v>
      </c>
      <c r="P32" s="4">
        <v>41.68</v>
      </c>
    </row>
    <row r="33" spans="1:112" x14ac:dyDescent="0.25">
      <c r="A33" s="2" t="s">
        <v>467</v>
      </c>
      <c r="B33" s="22">
        <v>0.82430555555555551</v>
      </c>
      <c r="C33" s="22" t="s">
        <v>429</v>
      </c>
      <c r="D33" s="3" t="s">
        <v>421</v>
      </c>
      <c r="E33" s="6" t="s">
        <v>422</v>
      </c>
      <c r="F33" s="6" t="s">
        <v>88</v>
      </c>
      <c r="G33" s="6" t="s">
        <v>89</v>
      </c>
      <c r="H33" s="4">
        <v>23</v>
      </c>
      <c r="I33" s="4" t="s">
        <v>18</v>
      </c>
      <c r="J33" s="4">
        <v>7</v>
      </c>
      <c r="K33" s="4">
        <v>23</v>
      </c>
      <c r="L33" s="4">
        <v>161</v>
      </c>
      <c r="M33" s="4">
        <v>21.28</v>
      </c>
      <c r="P33" s="4">
        <v>139.72</v>
      </c>
    </row>
    <row r="34" spans="1:112" x14ac:dyDescent="0.25">
      <c r="A34" s="2" t="s">
        <v>467</v>
      </c>
      <c r="B34" s="22">
        <v>0.82499999999999996</v>
      </c>
      <c r="C34" s="22" t="s">
        <v>429</v>
      </c>
      <c r="D34" s="3" t="s">
        <v>421</v>
      </c>
      <c r="E34" s="6" t="s">
        <v>422</v>
      </c>
      <c r="F34" s="6" t="s">
        <v>167</v>
      </c>
      <c r="G34" s="6" t="s">
        <v>168</v>
      </c>
      <c r="H34" s="4">
        <v>44</v>
      </c>
      <c r="I34" s="4" t="s">
        <v>18</v>
      </c>
      <c r="J34" s="4">
        <v>2</v>
      </c>
      <c r="K34" s="4">
        <v>44</v>
      </c>
      <c r="L34" s="4">
        <v>88</v>
      </c>
      <c r="M34" s="4">
        <v>66</v>
      </c>
      <c r="P34" s="4">
        <v>22</v>
      </c>
    </row>
    <row r="35" spans="1:112" x14ac:dyDescent="0.25">
      <c r="A35" s="2" t="s">
        <v>467</v>
      </c>
      <c r="B35" s="22">
        <v>0.82499999999999996</v>
      </c>
      <c r="C35" s="22" t="s">
        <v>429</v>
      </c>
      <c r="D35" s="3" t="s">
        <v>421</v>
      </c>
      <c r="E35" s="6" t="s">
        <v>422</v>
      </c>
      <c r="F35" s="6" t="s">
        <v>341</v>
      </c>
      <c r="G35" s="6" t="s">
        <v>342</v>
      </c>
      <c r="H35" s="4">
        <v>40</v>
      </c>
      <c r="I35" s="4" t="s">
        <v>18</v>
      </c>
      <c r="J35" s="4">
        <v>1</v>
      </c>
      <c r="K35" s="4">
        <v>40</v>
      </c>
      <c r="L35" s="4">
        <v>40</v>
      </c>
      <c r="M35" s="4">
        <v>30.7</v>
      </c>
      <c r="P35" s="4">
        <v>9.3000000000000007</v>
      </c>
    </row>
    <row r="36" spans="1:112" x14ac:dyDescent="0.25">
      <c r="A36" s="2" t="s">
        <v>467</v>
      </c>
      <c r="B36" s="22">
        <v>0.84027777777777779</v>
      </c>
      <c r="C36" s="22" t="s">
        <v>429</v>
      </c>
      <c r="D36" s="3" t="s">
        <v>423</v>
      </c>
      <c r="E36" s="6" t="s">
        <v>424</v>
      </c>
      <c r="F36" s="6" t="s">
        <v>35</v>
      </c>
      <c r="G36" s="6" t="s">
        <v>36</v>
      </c>
      <c r="H36" s="4">
        <v>4</v>
      </c>
      <c r="I36" s="4" t="s">
        <v>18</v>
      </c>
      <c r="J36" s="4">
        <v>2</v>
      </c>
      <c r="K36" s="4">
        <v>4</v>
      </c>
      <c r="L36" s="4">
        <v>8</v>
      </c>
      <c r="M36" s="4">
        <v>1.84</v>
      </c>
      <c r="P36" s="4">
        <v>6.16</v>
      </c>
    </row>
    <row r="37" spans="1:112" x14ac:dyDescent="0.25">
      <c r="A37" s="2" t="s">
        <v>467</v>
      </c>
      <c r="B37" s="22">
        <v>0.87638888888888888</v>
      </c>
      <c r="C37" s="22" t="s">
        <v>429</v>
      </c>
      <c r="D37" s="3" t="s">
        <v>425</v>
      </c>
      <c r="E37" s="6" t="s">
        <v>426</v>
      </c>
      <c r="F37" s="6" t="s">
        <v>321</v>
      </c>
      <c r="G37" s="6" t="s">
        <v>322</v>
      </c>
      <c r="H37" s="4">
        <v>98</v>
      </c>
      <c r="I37" s="4" t="s">
        <v>18</v>
      </c>
      <c r="J37" s="4">
        <v>2</v>
      </c>
      <c r="K37" s="4">
        <v>98</v>
      </c>
      <c r="L37" s="4">
        <v>196</v>
      </c>
      <c r="M37" s="4">
        <v>70</v>
      </c>
      <c r="P37" s="4">
        <v>126</v>
      </c>
    </row>
    <row r="38" spans="1:112" x14ac:dyDescent="0.25">
      <c r="A38" s="2" t="s">
        <v>467</v>
      </c>
      <c r="B38" s="22">
        <v>0.91041666666666665</v>
      </c>
      <c r="C38" s="22" t="s">
        <v>429</v>
      </c>
      <c r="D38" s="3" t="s">
        <v>427</v>
      </c>
      <c r="E38" s="6" t="s">
        <v>428</v>
      </c>
      <c r="F38" s="6" t="s">
        <v>90</v>
      </c>
      <c r="G38" s="6" t="s">
        <v>91</v>
      </c>
      <c r="H38" s="4">
        <v>35.450000000000003</v>
      </c>
      <c r="I38" s="4" t="s">
        <v>18</v>
      </c>
      <c r="J38" s="4">
        <v>1</v>
      </c>
      <c r="K38" s="4">
        <v>35.450000000000003</v>
      </c>
      <c r="L38" s="4">
        <v>35.450000000000003</v>
      </c>
      <c r="M38" s="4">
        <v>22.12</v>
      </c>
      <c r="P38" s="4">
        <v>13.33</v>
      </c>
    </row>
    <row r="39" spans="1:112" s="1" customFormat="1" x14ac:dyDescent="0.25">
      <c r="A39" s="2" t="s">
        <v>467</v>
      </c>
      <c r="C39" s="1" t="s">
        <v>429</v>
      </c>
      <c r="E39" s="5" t="s">
        <v>22</v>
      </c>
      <c r="F39" s="5"/>
      <c r="G39" s="5"/>
      <c r="H39" s="5"/>
      <c r="I39" s="5"/>
      <c r="J39" s="5">
        <v>61</v>
      </c>
      <c r="K39" s="5"/>
      <c r="L39" s="5">
        <v>1616.45</v>
      </c>
      <c r="M39" s="5">
        <v>632.11000000000013</v>
      </c>
      <c r="N39" s="5"/>
      <c r="O39" s="5">
        <v>0</v>
      </c>
      <c r="P39" s="5">
        <v>984.33999999999992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DH39" s="5">
        <v>4608</v>
      </c>
    </row>
    <row r="40" spans="1:112" x14ac:dyDescent="0.25">
      <c r="A40" s="2" t="s">
        <v>468</v>
      </c>
      <c r="B40" s="22">
        <v>0.37847222222222221</v>
      </c>
      <c r="C40" s="1" t="s">
        <v>429</v>
      </c>
      <c r="D40" s="3" t="s">
        <v>431</v>
      </c>
      <c r="E40" s="6" t="s">
        <v>432</v>
      </c>
      <c r="F40" s="6" t="s">
        <v>433</v>
      </c>
      <c r="G40" s="6" t="s">
        <v>434</v>
      </c>
      <c r="H40" s="4">
        <v>14</v>
      </c>
      <c r="I40" s="4" t="s">
        <v>18</v>
      </c>
      <c r="J40" s="4">
        <v>1</v>
      </c>
      <c r="K40" s="4">
        <v>14</v>
      </c>
      <c r="L40" s="4">
        <v>14</v>
      </c>
      <c r="M40" s="4">
        <v>11</v>
      </c>
      <c r="P40" s="4">
        <v>3</v>
      </c>
    </row>
    <row r="41" spans="1:112" x14ac:dyDescent="0.25">
      <c r="A41" s="2" t="s">
        <v>468</v>
      </c>
      <c r="B41" s="22">
        <v>0.37847222222222221</v>
      </c>
      <c r="C41" s="1" t="s">
        <v>429</v>
      </c>
      <c r="D41" s="3" t="s">
        <v>431</v>
      </c>
      <c r="E41" s="6" t="s">
        <v>432</v>
      </c>
      <c r="F41" s="6" t="s">
        <v>435</v>
      </c>
      <c r="G41" s="6" t="s">
        <v>436</v>
      </c>
      <c r="H41" s="4">
        <v>15</v>
      </c>
      <c r="I41" s="4" t="s">
        <v>18</v>
      </c>
      <c r="J41" s="4">
        <v>1</v>
      </c>
      <c r="K41" s="4">
        <v>15</v>
      </c>
      <c r="L41" s="4">
        <v>15</v>
      </c>
      <c r="M41" s="4">
        <v>2.34</v>
      </c>
      <c r="P41" s="4">
        <v>12.66</v>
      </c>
    </row>
    <row r="42" spans="1:112" x14ac:dyDescent="0.25">
      <c r="A42" s="2" t="s">
        <v>468</v>
      </c>
      <c r="B42" s="22">
        <v>0.37916666666666665</v>
      </c>
      <c r="C42" s="1" t="s">
        <v>429</v>
      </c>
      <c r="D42" s="3" t="s">
        <v>431</v>
      </c>
      <c r="E42" s="6" t="s">
        <v>432</v>
      </c>
      <c r="F42" s="6" t="s">
        <v>437</v>
      </c>
      <c r="G42" s="6" t="s">
        <v>438</v>
      </c>
      <c r="H42" s="4">
        <v>32</v>
      </c>
      <c r="I42" s="4" t="s">
        <v>18</v>
      </c>
      <c r="J42" s="4">
        <v>1</v>
      </c>
      <c r="K42" s="4">
        <v>32</v>
      </c>
      <c r="L42" s="4">
        <v>32</v>
      </c>
      <c r="M42" s="4">
        <v>16.66</v>
      </c>
      <c r="P42" s="4">
        <v>15.34</v>
      </c>
    </row>
    <row r="43" spans="1:112" x14ac:dyDescent="0.25">
      <c r="A43" s="2" t="s">
        <v>468</v>
      </c>
      <c r="B43" s="22">
        <v>0.39861111111111114</v>
      </c>
      <c r="C43" s="1" t="s">
        <v>429</v>
      </c>
      <c r="D43" s="3" t="s">
        <v>439</v>
      </c>
      <c r="E43" s="6" t="s">
        <v>440</v>
      </c>
      <c r="F43" s="6" t="s">
        <v>104</v>
      </c>
      <c r="G43" s="6" t="s">
        <v>105</v>
      </c>
      <c r="H43" s="4">
        <v>17.88</v>
      </c>
      <c r="I43" s="4" t="s">
        <v>18</v>
      </c>
      <c r="J43" s="4">
        <v>1</v>
      </c>
      <c r="K43" s="4">
        <v>17.88</v>
      </c>
      <c r="L43" s="4">
        <v>17.88</v>
      </c>
      <c r="M43" s="4">
        <v>14</v>
      </c>
      <c r="P43" s="4">
        <v>3.88</v>
      </c>
    </row>
    <row r="44" spans="1:112" x14ac:dyDescent="0.25">
      <c r="A44" s="2" t="s">
        <v>468</v>
      </c>
      <c r="B44" s="22">
        <v>0.41041666666666665</v>
      </c>
      <c r="C44" s="1" t="s">
        <v>429</v>
      </c>
      <c r="D44" s="3" t="s">
        <v>441</v>
      </c>
      <c r="E44" s="6" t="s">
        <v>442</v>
      </c>
      <c r="F44" s="6" t="s">
        <v>385</v>
      </c>
      <c r="G44" s="6" t="s">
        <v>386</v>
      </c>
      <c r="H44" s="4">
        <v>135</v>
      </c>
      <c r="I44" s="4" t="s">
        <v>18</v>
      </c>
      <c r="J44" s="4">
        <v>1</v>
      </c>
      <c r="K44" s="4">
        <v>135</v>
      </c>
      <c r="L44" s="4">
        <v>135</v>
      </c>
      <c r="M44" s="4">
        <v>59</v>
      </c>
      <c r="P44" s="4">
        <v>76</v>
      </c>
    </row>
    <row r="45" spans="1:112" x14ac:dyDescent="0.25">
      <c r="A45" s="2" t="s">
        <v>468</v>
      </c>
      <c r="B45" s="22">
        <v>0.41805555555555557</v>
      </c>
      <c r="C45" s="1" t="s">
        <v>429</v>
      </c>
      <c r="D45" s="3" t="s">
        <v>443</v>
      </c>
      <c r="E45" s="6" t="s">
        <v>444</v>
      </c>
      <c r="F45" s="6" t="s">
        <v>335</v>
      </c>
      <c r="G45" s="6" t="s">
        <v>336</v>
      </c>
      <c r="H45" s="4">
        <v>41</v>
      </c>
      <c r="I45" s="4" t="s">
        <v>18</v>
      </c>
      <c r="J45" s="4">
        <v>1</v>
      </c>
      <c r="K45" s="4">
        <v>41</v>
      </c>
      <c r="L45" s="4">
        <v>41</v>
      </c>
      <c r="M45" s="4">
        <v>32.85</v>
      </c>
      <c r="P45" s="4">
        <v>8.15</v>
      </c>
    </row>
    <row r="46" spans="1:112" x14ac:dyDescent="0.25">
      <c r="A46" s="2" t="s">
        <v>468</v>
      </c>
      <c r="B46" s="22">
        <v>0.42083333333333334</v>
      </c>
      <c r="C46" s="1" t="s">
        <v>429</v>
      </c>
      <c r="D46" s="3" t="s">
        <v>445</v>
      </c>
      <c r="E46" s="6" t="s">
        <v>446</v>
      </c>
      <c r="F46" s="6" t="s">
        <v>20</v>
      </c>
      <c r="G46" s="6" t="s">
        <v>21</v>
      </c>
      <c r="H46" s="4">
        <v>18</v>
      </c>
      <c r="I46" s="4" t="s">
        <v>18</v>
      </c>
      <c r="J46" s="4">
        <v>10</v>
      </c>
      <c r="K46" s="4">
        <v>18</v>
      </c>
      <c r="L46" s="4">
        <v>180</v>
      </c>
      <c r="M46" s="4">
        <v>28</v>
      </c>
      <c r="N46" s="4">
        <v>20</v>
      </c>
      <c r="O46" s="4">
        <v>36</v>
      </c>
      <c r="P46" s="4">
        <v>116</v>
      </c>
      <c r="Q46" s="4" t="s">
        <v>19</v>
      </c>
    </row>
    <row r="47" spans="1:112" x14ac:dyDescent="0.25">
      <c r="A47" s="2" t="s">
        <v>468</v>
      </c>
      <c r="B47" s="22">
        <v>0.42152777777777778</v>
      </c>
      <c r="C47" s="1" t="s">
        <v>429</v>
      </c>
      <c r="D47" s="3" t="s">
        <v>445</v>
      </c>
      <c r="E47" s="6" t="s">
        <v>446</v>
      </c>
      <c r="F47" s="6" t="s">
        <v>59</v>
      </c>
      <c r="G47" s="6" t="s">
        <v>60</v>
      </c>
      <c r="H47" s="4">
        <v>15</v>
      </c>
      <c r="I47" s="4" t="s">
        <v>18</v>
      </c>
      <c r="J47" s="4">
        <v>30</v>
      </c>
      <c r="K47" s="4">
        <v>15</v>
      </c>
      <c r="L47" s="4">
        <v>450</v>
      </c>
      <c r="M47" s="4">
        <v>90</v>
      </c>
      <c r="N47" s="4">
        <v>20</v>
      </c>
      <c r="O47" s="4">
        <v>90</v>
      </c>
      <c r="P47" s="4">
        <v>270</v>
      </c>
      <c r="Q47" s="4" t="s">
        <v>19</v>
      </c>
    </row>
    <row r="48" spans="1:112" x14ac:dyDescent="0.25">
      <c r="A48" s="2" t="s">
        <v>468</v>
      </c>
      <c r="B48" s="22">
        <v>0.42986111111111114</v>
      </c>
      <c r="C48" s="1" t="s">
        <v>429</v>
      </c>
      <c r="D48" s="3" t="s">
        <v>447</v>
      </c>
      <c r="E48" s="6" t="s">
        <v>448</v>
      </c>
      <c r="F48" s="6" t="s">
        <v>114</v>
      </c>
      <c r="G48" s="6" t="s">
        <v>115</v>
      </c>
      <c r="H48" s="4">
        <v>152</v>
      </c>
      <c r="I48" s="4" t="s">
        <v>18</v>
      </c>
      <c r="J48" s="4">
        <v>1</v>
      </c>
      <c r="K48" s="4">
        <v>152</v>
      </c>
      <c r="L48" s="4">
        <v>152</v>
      </c>
      <c r="M48" s="4">
        <v>133</v>
      </c>
      <c r="P48" s="4">
        <v>19</v>
      </c>
    </row>
    <row r="49" spans="1:112" x14ac:dyDescent="0.25">
      <c r="A49" s="2" t="s">
        <v>468</v>
      </c>
      <c r="B49" s="22">
        <v>0.44097222222222221</v>
      </c>
      <c r="C49" s="1" t="s">
        <v>429</v>
      </c>
      <c r="D49" s="3" t="s">
        <v>449</v>
      </c>
      <c r="E49" s="6" t="s">
        <v>450</v>
      </c>
      <c r="F49" s="6" t="s">
        <v>329</v>
      </c>
      <c r="G49" s="6" t="s">
        <v>330</v>
      </c>
      <c r="H49" s="4">
        <v>12</v>
      </c>
      <c r="I49" s="4" t="s">
        <v>18</v>
      </c>
      <c r="J49" s="4">
        <v>4</v>
      </c>
      <c r="K49" s="4">
        <v>12</v>
      </c>
      <c r="L49" s="4">
        <v>48</v>
      </c>
      <c r="M49" s="4">
        <v>6.32</v>
      </c>
      <c r="P49" s="4">
        <v>41.68</v>
      </c>
    </row>
    <row r="50" spans="1:112" s="1" customFormat="1" x14ac:dyDescent="0.25">
      <c r="A50" s="2" t="s">
        <v>468</v>
      </c>
      <c r="E50" s="5" t="s">
        <v>22</v>
      </c>
      <c r="F50" s="5"/>
      <c r="G50" s="5"/>
      <c r="H50" s="5"/>
      <c r="I50" s="5"/>
      <c r="J50" s="5">
        <v>51</v>
      </c>
      <c r="K50" s="5"/>
      <c r="L50" s="5">
        <v>1084.8800000000001</v>
      </c>
      <c r="M50" s="5">
        <v>393.17</v>
      </c>
      <c r="N50" s="5"/>
      <c r="O50" s="5">
        <v>126</v>
      </c>
      <c r="P50" s="5">
        <v>565.70999999999992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DH50" s="1">
        <v>126</v>
      </c>
    </row>
    <row r="51" spans="1:112" s="1" customFormat="1" x14ac:dyDescent="0.25">
      <c r="A51" s="2" t="s">
        <v>468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112" s="1" customFormat="1" x14ac:dyDescent="0.25">
      <c r="A52" s="2" t="s">
        <v>469</v>
      </c>
      <c r="E52" s="5" t="s">
        <v>22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112" x14ac:dyDescent="0.25">
      <c r="A53" s="2" t="s">
        <v>470</v>
      </c>
      <c r="B53" s="22">
        <v>0.28472222222222221</v>
      </c>
      <c r="C53" s="22" t="s">
        <v>430</v>
      </c>
      <c r="D53" s="3" t="s">
        <v>451</v>
      </c>
      <c r="E53" s="6" t="s">
        <v>452</v>
      </c>
      <c r="F53" s="6" t="s">
        <v>333</v>
      </c>
      <c r="G53" s="6" t="s">
        <v>334</v>
      </c>
      <c r="H53" s="4">
        <v>18</v>
      </c>
      <c r="I53" s="4" t="s">
        <v>18</v>
      </c>
      <c r="J53" s="4">
        <v>6</v>
      </c>
      <c r="K53" s="4">
        <v>18</v>
      </c>
      <c r="L53" s="4">
        <v>108</v>
      </c>
      <c r="M53" s="4">
        <v>82.02</v>
      </c>
      <c r="P53" s="4">
        <v>25.98</v>
      </c>
    </row>
    <row r="54" spans="1:112" x14ac:dyDescent="0.25">
      <c r="A54" s="2" t="s">
        <v>470</v>
      </c>
      <c r="B54" s="22">
        <v>0.28541666666666665</v>
      </c>
      <c r="C54" s="22" t="s">
        <v>430</v>
      </c>
      <c r="D54" s="3" t="s">
        <v>451</v>
      </c>
      <c r="E54" s="6" t="s">
        <v>452</v>
      </c>
      <c r="F54" s="6" t="s">
        <v>327</v>
      </c>
      <c r="G54" s="6" t="s">
        <v>328</v>
      </c>
      <c r="H54" s="4">
        <v>3</v>
      </c>
      <c r="I54" s="4" t="s">
        <v>18</v>
      </c>
      <c r="J54" s="4">
        <v>10</v>
      </c>
      <c r="K54" s="4">
        <v>3</v>
      </c>
      <c r="L54" s="4">
        <v>30</v>
      </c>
      <c r="M54" s="4">
        <v>3.3</v>
      </c>
      <c r="P54" s="4">
        <v>26.7</v>
      </c>
    </row>
    <row r="55" spans="1:112" x14ac:dyDescent="0.25">
      <c r="A55" s="2" t="s">
        <v>470</v>
      </c>
      <c r="B55" s="22">
        <v>0.28749999999999998</v>
      </c>
      <c r="C55" s="22" t="s">
        <v>430</v>
      </c>
      <c r="D55" s="3" t="s">
        <v>453</v>
      </c>
      <c r="E55" s="6" t="s">
        <v>454</v>
      </c>
      <c r="F55" s="6" t="s">
        <v>377</v>
      </c>
      <c r="G55" s="6" t="s">
        <v>378</v>
      </c>
      <c r="H55" s="4">
        <v>23</v>
      </c>
      <c r="I55" s="4" t="s">
        <v>18</v>
      </c>
      <c r="J55" s="4">
        <v>2</v>
      </c>
      <c r="K55" s="4">
        <v>23</v>
      </c>
      <c r="L55" s="4">
        <v>46</v>
      </c>
      <c r="M55" s="4">
        <v>29.8</v>
      </c>
      <c r="P55" s="4">
        <v>16.2</v>
      </c>
    </row>
    <row r="56" spans="1:112" x14ac:dyDescent="0.25">
      <c r="A56" s="2" t="s">
        <v>470</v>
      </c>
      <c r="B56" s="22">
        <v>0.29305555555555557</v>
      </c>
      <c r="C56" s="22" t="s">
        <v>430</v>
      </c>
      <c r="D56" s="3" t="s">
        <v>455</v>
      </c>
      <c r="E56" s="6" t="s">
        <v>456</v>
      </c>
      <c r="F56" s="6" t="s">
        <v>457</v>
      </c>
      <c r="G56" s="6" t="s">
        <v>458</v>
      </c>
      <c r="H56" s="4">
        <v>88</v>
      </c>
      <c r="I56" s="4" t="s">
        <v>18</v>
      </c>
      <c r="J56" s="4">
        <v>1</v>
      </c>
      <c r="K56" s="4">
        <v>88</v>
      </c>
      <c r="L56" s="4">
        <v>88</v>
      </c>
      <c r="M56" s="4">
        <v>74</v>
      </c>
      <c r="P56" s="4">
        <v>14</v>
      </c>
    </row>
    <row r="57" spans="1:112" x14ac:dyDescent="0.25">
      <c r="A57" s="2" t="s">
        <v>470</v>
      </c>
      <c r="B57" s="22">
        <v>0.30972222222222223</v>
      </c>
      <c r="C57" s="22" t="s">
        <v>430</v>
      </c>
      <c r="D57" s="3" t="s">
        <v>459</v>
      </c>
      <c r="E57" s="6" t="s">
        <v>460</v>
      </c>
      <c r="F57" s="6" t="s">
        <v>84</v>
      </c>
      <c r="G57" s="6" t="s">
        <v>85</v>
      </c>
      <c r="H57" s="4">
        <v>4</v>
      </c>
      <c r="I57" s="4" t="s">
        <v>18</v>
      </c>
      <c r="J57" s="4">
        <v>10</v>
      </c>
      <c r="K57" s="4">
        <v>4</v>
      </c>
      <c r="L57" s="4">
        <v>40</v>
      </c>
      <c r="M57" s="4">
        <v>8</v>
      </c>
      <c r="P57" s="4">
        <v>32</v>
      </c>
    </row>
    <row r="58" spans="1:112" x14ac:dyDescent="0.25">
      <c r="A58" s="2" t="s">
        <v>470</v>
      </c>
      <c r="B58" s="22">
        <v>0.34513888888888888</v>
      </c>
      <c r="C58" s="22" t="s">
        <v>430</v>
      </c>
      <c r="D58" s="3" t="s">
        <v>461</v>
      </c>
      <c r="E58" s="6" t="s">
        <v>462</v>
      </c>
      <c r="F58" s="6" t="s">
        <v>381</v>
      </c>
      <c r="G58" s="6" t="s">
        <v>382</v>
      </c>
      <c r="H58" s="4">
        <v>34</v>
      </c>
      <c r="I58" s="4" t="s">
        <v>18</v>
      </c>
      <c r="J58" s="4">
        <v>7</v>
      </c>
      <c r="K58" s="4">
        <v>34</v>
      </c>
      <c r="L58" s="4">
        <v>238</v>
      </c>
      <c r="M58" s="4">
        <v>22.75</v>
      </c>
      <c r="P58" s="4">
        <v>215.25</v>
      </c>
    </row>
    <row r="59" spans="1:112" x14ac:dyDescent="0.25">
      <c r="A59" s="2" t="s">
        <v>470</v>
      </c>
      <c r="B59" s="22">
        <v>0.34583333333333333</v>
      </c>
      <c r="C59" s="22" t="s">
        <v>430</v>
      </c>
      <c r="D59" s="3" t="s">
        <v>463</v>
      </c>
      <c r="E59" s="6" t="s">
        <v>464</v>
      </c>
      <c r="F59" s="6" t="s">
        <v>118</v>
      </c>
      <c r="G59" s="6" t="s">
        <v>119</v>
      </c>
      <c r="H59" s="4">
        <v>24</v>
      </c>
      <c r="I59" s="4" t="s">
        <v>18</v>
      </c>
      <c r="J59" s="4">
        <v>1</v>
      </c>
      <c r="K59" s="4">
        <v>24</v>
      </c>
      <c r="L59" s="4">
        <v>24</v>
      </c>
      <c r="M59" s="4">
        <v>14.37</v>
      </c>
      <c r="P59" s="4">
        <v>9.6300000000000008</v>
      </c>
    </row>
    <row r="60" spans="1:112" s="1" customFormat="1" x14ac:dyDescent="0.25">
      <c r="A60" s="2" t="s">
        <v>470</v>
      </c>
      <c r="E60" s="5" t="s">
        <v>22</v>
      </c>
      <c r="F60" s="5"/>
      <c r="G60" s="5"/>
      <c r="H60" s="5"/>
      <c r="I60" s="5"/>
      <c r="J60" s="5">
        <v>37</v>
      </c>
      <c r="K60" s="5"/>
      <c r="L60" s="5">
        <v>574</v>
      </c>
      <c r="M60" s="5">
        <v>234.24</v>
      </c>
      <c r="N60" s="5"/>
      <c r="O60" s="5">
        <v>0</v>
      </c>
      <c r="P60" s="5">
        <v>339.76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7559" spans="2:28" x14ac:dyDescent="0.25">
      <c r="O7559" s="4" t="s">
        <v>349</v>
      </c>
      <c r="P7559" s="4">
        <v>6</v>
      </c>
      <c r="Q7559" s="4" t="s">
        <v>350</v>
      </c>
      <c r="S7559" s="4" t="s">
        <v>349</v>
      </c>
      <c r="T7559" s="4">
        <v>6</v>
      </c>
      <c r="U7559" s="4" t="s">
        <v>349</v>
      </c>
      <c r="V7559" s="4">
        <v>6</v>
      </c>
      <c r="W7559" s="4" t="s">
        <v>349</v>
      </c>
      <c r="X7559" s="4">
        <v>6</v>
      </c>
      <c r="Y7559" s="4" t="s">
        <v>349</v>
      </c>
      <c r="Z7559" s="4">
        <v>6</v>
      </c>
      <c r="AA7559" s="4" t="s">
        <v>349</v>
      </c>
      <c r="AB7559" t="s">
        <v>349</v>
      </c>
    </row>
    <row r="7560" spans="2:28" x14ac:dyDescent="0.25">
      <c r="B7560" s="23" t="s">
        <v>351</v>
      </c>
      <c r="C7560" s="23"/>
      <c r="D7560" s="3" t="s">
        <v>351</v>
      </c>
      <c r="E7560" s="4" t="s">
        <v>352</v>
      </c>
      <c r="F7560" s="4" t="s">
        <v>353</v>
      </c>
      <c r="G7560" s="6" t="s">
        <v>354</v>
      </c>
      <c r="H7560" s="4" t="s">
        <v>355</v>
      </c>
      <c r="I7560" s="4">
        <v>4</v>
      </c>
      <c r="J7560" s="4">
        <v>3.5</v>
      </c>
      <c r="K7560" s="4" t="s">
        <v>349</v>
      </c>
      <c r="L7560" s="4">
        <v>6</v>
      </c>
      <c r="M7560" s="4" t="s">
        <v>349</v>
      </c>
      <c r="N7560" s="4">
        <v>6</v>
      </c>
      <c r="O7560" s="4" t="s">
        <v>349</v>
      </c>
      <c r="P7560" s="4">
        <v>6</v>
      </c>
      <c r="Q7560" s="4" t="s">
        <v>350</v>
      </c>
      <c r="S7560" s="4" t="s">
        <v>349</v>
      </c>
      <c r="T7560" s="4">
        <v>6</v>
      </c>
      <c r="U7560" s="4" t="s">
        <v>349</v>
      </c>
      <c r="V7560" s="4">
        <v>6</v>
      </c>
      <c r="W7560" s="4" t="s">
        <v>349</v>
      </c>
      <c r="X7560" s="4">
        <v>6</v>
      </c>
      <c r="Y7560" s="4" t="s">
        <v>349</v>
      </c>
      <c r="Z7560" s="4">
        <v>6</v>
      </c>
      <c r="AA7560" s="4" t="s">
        <v>349</v>
      </c>
      <c r="AB7560" t="s">
        <v>349</v>
      </c>
    </row>
    <row r="7561" spans="2:28" x14ac:dyDescent="0.25">
      <c r="B7561" s="23" t="s">
        <v>351</v>
      </c>
      <c r="C7561" s="23"/>
      <c r="D7561" s="3" t="s">
        <v>351</v>
      </c>
      <c r="E7561" s="4" t="s">
        <v>352</v>
      </c>
      <c r="F7561" s="4" t="s">
        <v>353</v>
      </c>
      <c r="G7561" s="6" t="s">
        <v>356</v>
      </c>
      <c r="H7561" s="4" t="s">
        <v>357</v>
      </c>
      <c r="I7561" s="4">
        <v>3</v>
      </c>
      <c r="J7561" s="4">
        <v>3</v>
      </c>
      <c r="K7561" s="4" t="s">
        <v>349</v>
      </c>
      <c r="L7561" s="4">
        <v>6</v>
      </c>
      <c r="M7561" s="4" t="s">
        <v>349</v>
      </c>
      <c r="N7561" s="4">
        <v>6</v>
      </c>
      <c r="O7561" s="4" t="s">
        <v>349</v>
      </c>
      <c r="P7561" s="4">
        <v>6</v>
      </c>
      <c r="Q7561" s="4" t="s">
        <v>350</v>
      </c>
      <c r="S7561" s="4" t="s">
        <v>349</v>
      </c>
      <c r="T7561" s="4">
        <v>6</v>
      </c>
      <c r="U7561" s="4" t="s">
        <v>349</v>
      </c>
      <c r="V7561" s="4">
        <v>6</v>
      </c>
      <c r="W7561" s="4" t="s">
        <v>349</v>
      </c>
      <c r="X7561" s="4">
        <v>6</v>
      </c>
      <c r="Y7561" s="4" t="s">
        <v>349</v>
      </c>
      <c r="Z7561" s="4">
        <v>6</v>
      </c>
      <c r="AA7561" s="4" t="s">
        <v>349</v>
      </c>
      <c r="AB7561" t="s">
        <v>349</v>
      </c>
    </row>
    <row r="7562" spans="2:28" x14ac:dyDescent="0.25">
      <c r="B7562" s="23" t="s">
        <v>351</v>
      </c>
      <c r="C7562" s="23"/>
      <c r="D7562" s="3" t="s">
        <v>351</v>
      </c>
      <c r="E7562" s="4" t="s">
        <v>352</v>
      </c>
      <c r="F7562" s="4" t="s">
        <v>353</v>
      </c>
      <c r="G7562" s="6" t="s">
        <v>358</v>
      </c>
      <c r="H7562" s="4" t="s">
        <v>359</v>
      </c>
      <c r="I7562" s="4">
        <v>46</v>
      </c>
      <c r="J7562" s="4">
        <v>45.5</v>
      </c>
      <c r="K7562" s="4" t="s">
        <v>349</v>
      </c>
      <c r="L7562" s="4">
        <v>56</v>
      </c>
      <c r="M7562" s="4" t="s">
        <v>349</v>
      </c>
      <c r="N7562" s="4">
        <v>56</v>
      </c>
      <c r="O7562" s="4" t="s">
        <v>349</v>
      </c>
      <c r="P7562" s="4">
        <v>56</v>
      </c>
      <c r="Q7562" s="4" t="s">
        <v>350</v>
      </c>
      <c r="S7562" s="4" t="s">
        <v>349</v>
      </c>
      <c r="T7562" s="4">
        <v>56</v>
      </c>
      <c r="U7562" s="4" t="s">
        <v>349</v>
      </c>
      <c r="V7562" s="4">
        <v>56</v>
      </c>
      <c r="W7562" s="4" t="s">
        <v>349</v>
      </c>
      <c r="X7562" s="4">
        <v>56</v>
      </c>
      <c r="Y7562" s="4" t="s">
        <v>349</v>
      </c>
      <c r="Z7562" s="4">
        <v>56</v>
      </c>
      <c r="AA7562" s="4" t="s">
        <v>349</v>
      </c>
      <c r="AB7562" t="s">
        <v>349</v>
      </c>
    </row>
    <row r="7563" spans="2:28" x14ac:dyDescent="0.25">
      <c r="B7563" s="23" t="s">
        <v>360</v>
      </c>
      <c r="C7563" s="23"/>
      <c r="D7563" s="3" t="s">
        <v>351</v>
      </c>
      <c r="E7563" s="4" t="s">
        <v>352</v>
      </c>
      <c r="F7563" s="4" t="s">
        <v>353</v>
      </c>
      <c r="G7563" s="6" t="s">
        <v>361</v>
      </c>
      <c r="H7563" s="4" t="s">
        <v>362</v>
      </c>
      <c r="I7563" s="4">
        <v>99</v>
      </c>
      <c r="J7563" s="4">
        <v>99</v>
      </c>
      <c r="K7563" s="4" t="s">
        <v>349</v>
      </c>
      <c r="L7563" s="4">
        <v>112</v>
      </c>
      <c r="M7563" s="4" t="s">
        <v>349</v>
      </c>
      <c r="N7563" s="4">
        <v>112</v>
      </c>
      <c r="O7563" s="4" t="s">
        <v>349</v>
      </c>
      <c r="P7563" s="4">
        <v>112</v>
      </c>
      <c r="Q7563" s="4" t="s">
        <v>350</v>
      </c>
      <c r="V7563" s="4">
        <v>112</v>
      </c>
      <c r="W7563" s="4" t="s">
        <v>349</v>
      </c>
      <c r="X7563" s="4">
        <v>112</v>
      </c>
      <c r="Y7563" s="4" t="s">
        <v>349</v>
      </c>
      <c r="Z7563" s="4">
        <v>112</v>
      </c>
      <c r="AA7563" s="4" t="s">
        <v>349</v>
      </c>
      <c r="AB7563" t="s">
        <v>349</v>
      </c>
    </row>
    <row r="7564" spans="2:28" x14ac:dyDescent="0.25">
      <c r="B7564" s="23" t="s">
        <v>363</v>
      </c>
      <c r="C7564" s="23"/>
      <c r="D7564" s="3" t="s">
        <v>351</v>
      </c>
      <c r="E7564" s="4" t="s">
        <v>352</v>
      </c>
      <c r="F7564" s="4" t="s">
        <v>353</v>
      </c>
      <c r="G7564" s="6" t="s">
        <v>364</v>
      </c>
      <c r="H7564" s="4" t="s">
        <v>365</v>
      </c>
      <c r="I7564" s="4">
        <v>19</v>
      </c>
      <c r="J7564" s="4">
        <v>19</v>
      </c>
      <c r="K7564" s="4" t="s">
        <v>349</v>
      </c>
      <c r="L7564" s="4">
        <v>23</v>
      </c>
      <c r="M7564" s="4" t="s">
        <v>349</v>
      </c>
      <c r="N7564" s="4">
        <v>23</v>
      </c>
      <c r="O7564" s="4" t="s">
        <v>349</v>
      </c>
      <c r="P7564" s="4">
        <v>23</v>
      </c>
      <c r="Q7564" s="4" t="s">
        <v>350</v>
      </c>
      <c r="S7564" s="4" t="s">
        <v>349</v>
      </c>
      <c r="T7564" s="4">
        <v>23</v>
      </c>
      <c r="U7564" s="4" t="s">
        <v>349</v>
      </c>
      <c r="V7564" s="4">
        <v>23</v>
      </c>
      <c r="W7564" s="4" t="s">
        <v>349</v>
      </c>
      <c r="X7564" s="4">
        <v>23</v>
      </c>
      <c r="Y7564" s="4" t="s">
        <v>349</v>
      </c>
      <c r="Z7564" s="4">
        <v>23</v>
      </c>
      <c r="AA7564" s="4" t="s">
        <v>349</v>
      </c>
      <c r="AB7564" t="s">
        <v>349</v>
      </c>
    </row>
    <row r="7565" spans="2:28" x14ac:dyDescent="0.25">
      <c r="B7565" s="23" t="s">
        <v>366</v>
      </c>
      <c r="C7565" s="23"/>
      <c r="D7565" s="3" t="s">
        <v>351</v>
      </c>
      <c r="E7565" s="4" t="s">
        <v>352</v>
      </c>
      <c r="F7565" s="4" t="s">
        <v>353</v>
      </c>
      <c r="G7565" s="6" t="s">
        <v>367</v>
      </c>
      <c r="H7565" s="4" t="s">
        <v>368</v>
      </c>
      <c r="I7565" s="4">
        <v>19</v>
      </c>
      <c r="J7565" s="4">
        <v>19</v>
      </c>
      <c r="K7565" s="4" t="s">
        <v>349</v>
      </c>
      <c r="L7565" s="4">
        <v>27</v>
      </c>
      <c r="M7565" s="4" t="s">
        <v>349</v>
      </c>
      <c r="N7565" s="4">
        <v>27</v>
      </c>
      <c r="O7565" s="4" t="s">
        <v>349</v>
      </c>
      <c r="P7565" s="4">
        <v>27</v>
      </c>
      <c r="Q7565" s="4" t="s">
        <v>350</v>
      </c>
      <c r="S7565" s="4" t="s">
        <v>349</v>
      </c>
      <c r="T7565" s="4">
        <v>27</v>
      </c>
      <c r="U7565" s="4" t="s">
        <v>349</v>
      </c>
      <c r="V7565" s="4">
        <v>27</v>
      </c>
      <c r="W7565" s="4" t="s">
        <v>349</v>
      </c>
      <c r="X7565" s="4">
        <v>27</v>
      </c>
      <c r="Y7565" s="4" t="s">
        <v>349</v>
      </c>
      <c r="Z7565" s="4">
        <v>27</v>
      </c>
      <c r="AA7565" s="4" t="s">
        <v>349</v>
      </c>
      <c r="AB7565" t="s">
        <v>349</v>
      </c>
    </row>
    <row r="7566" spans="2:28" x14ac:dyDescent="0.25">
      <c r="B7566" s="23" t="s">
        <v>369</v>
      </c>
      <c r="C7566" s="23"/>
      <c r="D7566" s="3" t="s">
        <v>351</v>
      </c>
      <c r="E7566" s="4" t="s">
        <v>352</v>
      </c>
      <c r="F7566" s="4" t="s">
        <v>353</v>
      </c>
      <c r="G7566" s="6" t="s">
        <v>370</v>
      </c>
      <c r="H7566" s="4" t="s">
        <v>371</v>
      </c>
      <c r="I7566" s="4">
        <v>130</v>
      </c>
      <c r="J7566" s="4">
        <v>130</v>
      </c>
      <c r="K7566" s="4" t="s">
        <v>349</v>
      </c>
      <c r="L7566" s="4">
        <v>140</v>
      </c>
      <c r="M7566" s="4" t="s">
        <v>349</v>
      </c>
      <c r="N7566" s="4">
        <v>140</v>
      </c>
      <c r="O7566" s="4" t="s">
        <v>349</v>
      </c>
      <c r="P7566" s="4">
        <v>140</v>
      </c>
      <c r="Q7566" s="4" t="s">
        <v>350</v>
      </c>
      <c r="S7566" s="4" t="s">
        <v>349</v>
      </c>
      <c r="T7566" s="4">
        <v>140</v>
      </c>
      <c r="U7566" s="4" t="s">
        <v>349</v>
      </c>
      <c r="V7566" s="4">
        <v>140</v>
      </c>
      <c r="W7566" s="4" t="s">
        <v>349</v>
      </c>
      <c r="X7566" s="4">
        <v>140</v>
      </c>
      <c r="Y7566" s="4" t="s">
        <v>349</v>
      </c>
      <c r="Z7566" s="4">
        <v>140</v>
      </c>
      <c r="AA7566" s="4" t="s">
        <v>349</v>
      </c>
      <c r="AB7566" t="s">
        <v>349</v>
      </c>
    </row>
    <row r="7567" spans="2:28" x14ac:dyDescent="0.25">
      <c r="B7567" s="23" t="s">
        <v>372</v>
      </c>
      <c r="C7567" s="23"/>
      <c r="D7567" s="3" t="s">
        <v>351</v>
      </c>
      <c r="E7567" s="4" t="s">
        <v>352</v>
      </c>
      <c r="F7567" s="4" t="s">
        <v>353</v>
      </c>
      <c r="G7567" s="6" t="s">
        <v>373</v>
      </c>
      <c r="H7567" s="4" t="s">
        <v>374</v>
      </c>
      <c r="I7567" s="4">
        <v>88</v>
      </c>
      <c r="J7567" s="4">
        <v>88.4</v>
      </c>
      <c r="K7567" s="4" t="s">
        <v>349</v>
      </c>
      <c r="L7567" s="4">
        <v>98</v>
      </c>
      <c r="M7567" s="4" t="s">
        <v>349</v>
      </c>
      <c r="N7567" s="4">
        <v>98</v>
      </c>
      <c r="O7567" s="4" t="s">
        <v>349</v>
      </c>
      <c r="P7567" s="4">
        <v>98</v>
      </c>
      <c r="Q7567" s="4" t="s">
        <v>350</v>
      </c>
      <c r="S7567" s="4" t="s">
        <v>349</v>
      </c>
      <c r="T7567" s="4">
        <v>98</v>
      </c>
      <c r="U7567" s="4" t="s">
        <v>349</v>
      </c>
      <c r="V7567" s="4">
        <v>98</v>
      </c>
      <c r="W7567" s="4" t="s">
        <v>349</v>
      </c>
      <c r="X7567" s="4">
        <v>98</v>
      </c>
      <c r="Y7567" s="4" t="s">
        <v>349</v>
      </c>
      <c r="Z7567" s="4">
        <v>98</v>
      </c>
      <c r="AA7567" s="4" t="s">
        <v>349</v>
      </c>
    </row>
    <row r="7579" spans="5:27" x14ac:dyDescent="0.25">
      <c r="E7579" s="4" t="s">
        <v>352</v>
      </c>
      <c r="F7579" s="4" t="s">
        <v>353</v>
      </c>
      <c r="G7579" s="6" t="s">
        <v>375</v>
      </c>
      <c r="H7579" s="4" t="s">
        <v>376</v>
      </c>
      <c r="I7579" s="4">
        <v>5</v>
      </c>
      <c r="J7579" s="4">
        <v>4.63</v>
      </c>
      <c r="K7579" s="4" t="s">
        <v>349</v>
      </c>
      <c r="L7579" s="4">
        <v>10</v>
      </c>
      <c r="M7579" s="4" t="s">
        <v>349</v>
      </c>
      <c r="N7579" s="4">
        <v>10</v>
      </c>
      <c r="O7579" s="4" t="s">
        <v>349</v>
      </c>
      <c r="P7579" s="4">
        <v>10</v>
      </c>
      <c r="Q7579" s="4" t="s">
        <v>350</v>
      </c>
      <c r="S7579" s="4" t="s">
        <v>349</v>
      </c>
      <c r="T7579" s="4">
        <v>10</v>
      </c>
      <c r="U7579" s="4" t="s">
        <v>349</v>
      </c>
      <c r="V7579" s="4">
        <v>10</v>
      </c>
      <c r="W7579" s="4" t="s">
        <v>349</v>
      </c>
      <c r="X7579" s="4">
        <v>10</v>
      </c>
      <c r="Y7579" s="4" t="s">
        <v>349</v>
      </c>
      <c r="Z7579" s="4">
        <v>10</v>
      </c>
      <c r="AA7579" s="4" t="s">
        <v>349</v>
      </c>
    </row>
  </sheetData>
  <autoFilter ref="A8:R8" xr:uid="{00000000-0001-0000-0000-000000000000}"/>
  <mergeCells count="1">
    <mergeCell ref="E7:F7"/>
  </mergeCells>
  <phoneticPr fontId="2" type="noConversion"/>
  <pageMargins left="0.7" right="0.7" top="0.75" bottom="0.75" header="0.3" footer="0.3"/>
  <pageSetup paperSize="2321" orientation="portrait" horizontalDpi="16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9D06-9ADD-48E7-AE93-C81BAC408EE8}">
  <dimension ref="A3:F123"/>
  <sheetViews>
    <sheetView topLeftCell="A64" workbookViewId="0">
      <selection activeCell="A2" sqref="A2"/>
    </sheetView>
  </sheetViews>
  <sheetFormatPr defaultRowHeight="15" x14ac:dyDescent="0.25"/>
  <cols>
    <col min="1" max="1" width="20.85546875" bestFit="1" customWidth="1"/>
    <col min="2" max="2" width="16.42578125" bestFit="1" customWidth="1"/>
    <col min="3" max="3" width="15.140625" bestFit="1" customWidth="1"/>
    <col min="4" max="4" width="37" bestFit="1" customWidth="1"/>
    <col min="5" max="5" width="19.42578125" bestFit="1" customWidth="1"/>
    <col min="6" max="6" width="22.42578125" bestFit="1" customWidth="1"/>
  </cols>
  <sheetData>
    <row r="3" spans="1:6" x14ac:dyDescent="0.25">
      <c r="E3" s="19" t="s">
        <v>319</v>
      </c>
    </row>
    <row r="4" spans="1:6" x14ac:dyDescent="0.25">
      <c r="A4" s="19" t="s">
        <v>4</v>
      </c>
      <c r="B4" s="19" t="s">
        <v>5</v>
      </c>
      <c r="C4" s="19" t="s">
        <v>6</v>
      </c>
      <c r="D4" s="19" t="s">
        <v>7</v>
      </c>
      <c r="E4" t="s">
        <v>318</v>
      </c>
      <c r="F4" t="s">
        <v>320</v>
      </c>
    </row>
    <row r="5" spans="1:6" x14ac:dyDescent="0.25">
      <c r="A5" t="s">
        <v>137</v>
      </c>
      <c r="B5" t="s">
        <v>138</v>
      </c>
      <c r="C5" t="s">
        <v>94</v>
      </c>
      <c r="D5" t="s">
        <v>95</v>
      </c>
      <c r="E5" s="4">
        <v>36</v>
      </c>
    </row>
    <row r="6" spans="1:6" x14ac:dyDescent="0.25">
      <c r="A6" t="s">
        <v>273</v>
      </c>
      <c r="E6" s="4">
        <v>36</v>
      </c>
    </row>
    <row r="7" spans="1:6" x14ac:dyDescent="0.25">
      <c r="A7" t="s">
        <v>139</v>
      </c>
      <c r="B7" t="s">
        <v>140</v>
      </c>
      <c r="C7" t="s">
        <v>143</v>
      </c>
      <c r="D7" t="s">
        <v>144</v>
      </c>
      <c r="E7" s="4">
        <v>12</v>
      </c>
    </row>
    <row r="8" spans="1:6" x14ac:dyDescent="0.25">
      <c r="C8" t="s">
        <v>141</v>
      </c>
      <c r="D8" t="s">
        <v>142</v>
      </c>
      <c r="E8" s="4">
        <v>42</v>
      </c>
    </row>
    <row r="9" spans="1:6" x14ac:dyDescent="0.25">
      <c r="A9" t="s">
        <v>274</v>
      </c>
      <c r="E9" s="4">
        <v>54</v>
      </c>
    </row>
    <row r="10" spans="1:6" x14ac:dyDescent="0.25">
      <c r="A10" t="s">
        <v>145</v>
      </c>
      <c r="B10" t="s">
        <v>146</v>
      </c>
      <c r="C10" t="s">
        <v>50</v>
      </c>
      <c r="D10" t="s">
        <v>45</v>
      </c>
      <c r="E10" s="4">
        <v>150</v>
      </c>
    </row>
    <row r="11" spans="1:6" x14ac:dyDescent="0.25">
      <c r="A11" t="s">
        <v>275</v>
      </c>
      <c r="E11" s="4">
        <v>150</v>
      </c>
    </row>
    <row r="12" spans="1:6" x14ac:dyDescent="0.25">
      <c r="A12" t="s">
        <v>147</v>
      </c>
      <c r="B12" t="s">
        <v>148</v>
      </c>
      <c r="C12" t="s">
        <v>149</v>
      </c>
      <c r="D12" t="s">
        <v>150</v>
      </c>
      <c r="E12" s="4">
        <v>3955</v>
      </c>
    </row>
    <row r="13" spans="1:6" x14ac:dyDescent="0.25">
      <c r="A13" t="s">
        <v>276</v>
      </c>
      <c r="E13" s="4">
        <v>3955</v>
      </c>
    </row>
    <row r="14" spans="1:6" x14ac:dyDescent="0.25">
      <c r="A14" t="s">
        <v>151</v>
      </c>
      <c r="B14" t="s">
        <v>152</v>
      </c>
      <c r="C14" t="s">
        <v>26</v>
      </c>
      <c r="D14" t="s">
        <v>27</v>
      </c>
      <c r="E14" s="4">
        <v>35</v>
      </c>
    </row>
    <row r="15" spans="1:6" x14ac:dyDescent="0.25">
      <c r="C15" t="s">
        <v>106</v>
      </c>
      <c r="D15" t="s">
        <v>107</v>
      </c>
      <c r="E15" s="4">
        <v>28</v>
      </c>
    </row>
    <row r="16" spans="1:6" x14ac:dyDescent="0.25">
      <c r="A16" t="s">
        <v>277</v>
      </c>
      <c r="E16" s="4">
        <v>63</v>
      </c>
    </row>
    <row r="17" spans="1:5" x14ac:dyDescent="0.25">
      <c r="A17" t="s">
        <v>153</v>
      </c>
      <c r="B17" t="s">
        <v>154</v>
      </c>
      <c r="C17" t="s">
        <v>157</v>
      </c>
      <c r="D17" t="s">
        <v>158</v>
      </c>
      <c r="E17" s="4">
        <v>448</v>
      </c>
    </row>
    <row r="18" spans="1:5" x14ac:dyDescent="0.25">
      <c r="C18" t="s">
        <v>155</v>
      </c>
      <c r="D18" t="s">
        <v>156</v>
      </c>
      <c r="E18" s="4">
        <v>2212.63</v>
      </c>
    </row>
    <row r="19" spans="1:5" x14ac:dyDescent="0.25">
      <c r="A19" t="s">
        <v>278</v>
      </c>
      <c r="E19" s="20">
        <v>2660.63</v>
      </c>
    </row>
    <row r="20" spans="1:5" x14ac:dyDescent="0.25">
      <c r="A20" t="s">
        <v>159</v>
      </c>
      <c r="B20" t="s">
        <v>160</v>
      </c>
      <c r="C20" t="s">
        <v>161</v>
      </c>
      <c r="D20" t="s">
        <v>162</v>
      </c>
      <c r="E20" s="4">
        <v>30</v>
      </c>
    </row>
    <row r="21" spans="1:5" x14ac:dyDescent="0.25">
      <c r="A21" t="s">
        <v>279</v>
      </c>
      <c r="E21" s="4">
        <v>30</v>
      </c>
    </row>
    <row r="22" spans="1:5" x14ac:dyDescent="0.25">
      <c r="A22" t="s">
        <v>163</v>
      </c>
      <c r="B22" t="s">
        <v>164</v>
      </c>
      <c r="C22" t="s">
        <v>132</v>
      </c>
      <c r="D22" t="s">
        <v>133</v>
      </c>
      <c r="E22" s="4">
        <v>64</v>
      </c>
    </row>
    <row r="23" spans="1:5" x14ac:dyDescent="0.25">
      <c r="A23" t="s">
        <v>280</v>
      </c>
      <c r="E23" s="4">
        <v>64</v>
      </c>
    </row>
    <row r="24" spans="1:5" x14ac:dyDescent="0.25">
      <c r="A24" t="s">
        <v>165</v>
      </c>
      <c r="B24" t="s">
        <v>166</v>
      </c>
      <c r="C24" t="s">
        <v>26</v>
      </c>
      <c r="D24" t="s">
        <v>27</v>
      </c>
      <c r="E24" s="4">
        <v>35</v>
      </c>
    </row>
    <row r="25" spans="1:5" x14ac:dyDescent="0.25">
      <c r="C25" t="s">
        <v>106</v>
      </c>
      <c r="D25" t="s">
        <v>107</v>
      </c>
      <c r="E25" s="4">
        <v>28</v>
      </c>
    </row>
    <row r="26" spans="1:5" x14ac:dyDescent="0.25">
      <c r="C26" t="s">
        <v>78</v>
      </c>
      <c r="D26" t="s">
        <v>79</v>
      </c>
      <c r="E26" s="4">
        <v>1552</v>
      </c>
    </row>
    <row r="27" spans="1:5" x14ac:dyDescent="0.25">
      <c r="C27" t="s">
        <v>167</v>
      </c>
      <c r="D27" t="s">
        <v>168</v>
      </c>
      <c r="E27" s="4">
        <v>220</v>
      </c>
    </row>
    <row r="28" spans="1:5" x14ac:dyDescent="0.25">
      <c r="A28" t="s">
        <v>281</v>
      </c>
      <c r="E28" s="4">
        <v>1835</v>
      </c>
    </row>
    <row r="29" spans="1:5" x14ac:dyDescent="0.25">
      <c r="A29" t="s">
        <v>169</v>
      </c>
      <c r="B29" t="s">
        <v>170</v>
      </c>
      <c r="C29" t="s">
        <v>52</v>
      </c>
      <c r="D29" t="s">
        <v>42</v>
      </c>
      <c r="E29" s="4">
        <v>37.4</v>
      </c>
    </row>
    <row r="30" spans="1:5" x14ac:dyDescent="0.25">
      <c r="A30" t="s">
        <v>282</v>
      </c>
      <c r="E30" s="4">
        <v>37.4</v>
      </c>
    </row>
    <row r="31" spans="1:5" x14ac:dyDescent="0.25">
      <c r="A31" t="s">
        <v>171</v>
      </c>
      <c r="B31" t="s">
        <v>172</v>
      </c>
      <c r="C31" t="s">
        <v>49</v>
      </c>
      <c r="D31" t="s">
        <v>41</v>
      </c>
      <c r="E31" s="4">
        <v>0.02</v>
      </c>
    </row>
    <row r="32" spans="1:5" x14ac:dyDescent="0.25">
      <c r="C32" t="s">
        <v>20</v>
      </c>
      <c r="D32" t="s">
        <v>21</v>
      </c>
      <c r="E32" s="4">
        <v>360</v>
      </c>
    </row>
    <row r="33" spans="1:6" x14ac:dyDescent="0.25">
      <c r="A33" t="s">
        <v>283</v>
      </c>
      <c r="E33" s="4">
        <v>360.02</v>
      </c>
    </row>
    <row r="34" spans="1:6" x14ac:dyDescent="0.25">
      <c r="A34" t="s">
        <v>173</v>
      </c>
      <c r="B34" t="s">
        <v>174</v>
      </c>
      <c r="C34" t="s">
        <v>26</v>
      </c>
      <c r="D34" t="s">
        <v>27</v>
      </c>
      <c r="E34" s="4">
        <v>35</v>
      </c>
    </row>
    <row r="35" spans="1:6" x14ac:dyDescent="0.25">
      <c r="A35" t="s">
        <v>284</v>
      </c>
      <c r="E35" s="4">
        <v>35</v>
      </c>
    </row>
    <row r="36" spans="1:6" x14ac:dyDescent="0.25">
      <c r="A36" t="s">
        <v>175</v>
      </c>
      <c r="B36" t="s">
        <v>176</v>
      </c>
      <c r="C36" t="s">
        <v>106</v>
      </c>
      <c r="D36" t="s">
        <v>107</v>
      </c>
      <c r="E36" s="4">
        <v>28</v>
      </c>
    </row>
    <row r="37" spans="1:6" x14ac:dyDescent="0.25">
      <c r="A37" t="s">
        <v>285</v>
      </c>
      <c r="E37" s="4">
        <v>28</v>
      </c>
    </row>
    <row r="38" spans="1:6" x14ac:dyDescent="0.25">
      <c r="A38" t="s">
        <v>177</v>
      </c>
      <c r="B38" t="s">
        <v>178</v>
      </c>
      <c r="C38" t="s">
        <v>57</v>
      </c>
      <c r="D38" t="s">
        <v>46</v>
      </c>
      <c r="E38" s="4">
        <v>32</v>
      </c>
    </row>
    <row r="39" spans="1:6" x14ac:dyDescent="0.25">
      <c r="A39" t="s">
        <v>286</v>
      </c>
      <c r="E39" s="4">
        <v>32</v>
      </c>
    </row>
    <row r="40" spans="1:6" x14ac:dyDescent="0.25">
      <c r="A40" t="s">
        <v>179</v>
      </c>
      <c r="B40" t="s">
        <v>180</v>
      </c>
      <c r="C40" t="s">
        <v>86</v>
      </c>
      <c r="D40" t="s">
        <v>87</v>
      </c>
      <c r="E40" s="4">
        <v>180</v>
      </c>
    </row>
    <row r="41" spans="1:6" x14ac:dyDescent="0.25">
      <c r="A41" t="s">
        <v>287</v>
      </c>
      <c r="E41" s="4">
        <v>180</v>
      </c>
    </row>
    <row r="42" spans="1:6" x14ac:dyDescent="0.25">
      <c r="A42" t="s">
        <v>181</v>
      </c>
      <c r="B42" t="s">
        <v>182</v>
      </c>
      <c r="C42" t="s">
        <v>183</v>
      </c>
      <c r="D42" t="s">
        <v>184</v>
      </c>
      <c r="E42" s="4">
        <v>628</v>
      </c>
    </row>
    <row r="43" spans="1:6" x14ac:dyDescent="0.25">
      <c r="A43" t="s">
        <v>288</v>
      </c>
      <c r="E43" s="4">
        <v>628</v>
      </c>
    </row>
    <row r="44" spans="1:6" x14ac:dyDescent="0.25">
      <c r="A44" t="s">
        <v>200</v>
      </c>
      <c r="B44" t="s">
        <v>201</v>
      </c>
      <c r="C44" t="s">
        <v>61</v>
      </c>
      <c r="D44" t="s">
        <v>62</v>
      </c>
      <c r="E44" s="4">
        <v>1292</v>
      </c>
    </row>
    <row r="45" spans="1:6" x14ac:dyDescent="0.25">
      <c r="A45" t="s">
        <v>289</v>
      </c>
      <c r="E45" s="20">
        <v>1292</v>
      </c>
    </row>
    <row r="46" spans="1:6" x14ac:dyDescent="0.25">
      <c r="A46" t="s">
        <v>202</v>
      </c>
      <c r="B46" t="s">
        <v>203</v>
      </c>
      <c r="C46" t="s">
        <v>110</v>
      </c>
      <c r="D46" t="s">
        <v>111</v>
      </c>
      <c r="E46" s="4">
        <v>1125</v>
      </c>
      <c r="F46">
        <v>225</v>
      </c>
    </row>
    <row r="47" spans="1:6" x14ac:dyDescent="0.25">
      <c r="C47" t="s">
        <v>98</v>
      </c>
      <c r="D47" t="s">
        <v>99</v>
      </c>
      <c r="E47" s="4">
        <v>1125</v>
      </c>
      <c r="F47">
        <v>225</v>
      </c>
    </row>
    <row r="48" spans="1:6" x14ac:dyDescent="0.25">
      <c r="A48" t="s">
        <v>290</v>
      </c>
      <c r="E48" s="4">
        <v>2250</v>
      </c>
      <c r="F48">
        <v>450</v>
      </c>
    </row>
    <row r="49" spans="1:6" x14ac:dyDescent="0.25">
      <c r="A49" t="s">
        <v>204</v>
      </c>
      <c r="B49" t="s">
        <v>205</v>
      </c>
      <c r="C49" t="s">
        <v>64</v>
      </c>
      <c r="D49" t="s">
        <v>65</v>
      </c>
      <c r="E49" s="4">
        <v>980</v>
      </c>
      <c r="F49">
        <v>196</v>
      </c>
    </row>
    <row r="50" spans="1:6" x14ac:dyDescent="0.25">
      <c r="C50" t="s">
        <v>206</v>
      </c>
      <c r="D50" t="s">
        <v>207</v>
      </c>
      <c r="E50" s="4">
        <v>394</v>
      </c>
      <c r="F50">
        <v>78.8</v>
      </c>
    </row>
    <row r="51" spans="1:6" x14ac:dyDescent="0.25">
      <c r="A51" t="s">
        <v>291</v>
      </c>
      <c r="E51" s="4">
        <v>1374</v>
      </c>
      <c r="F51">
        <v>274.8</v>
      </c>
    </row>
    <row r="52" spans="1:6" x14ac:dyDescent="0.25">
      <c r="A52" t="s">
        <v>186</v>
      </c>
      <c r="B52" t="s">
        <v>187</v>
      </c>
      <c r="C52" t="s">
        <v>64</v>
      </c>
      <c r="D52" t="s">
        <v>65</v>
      </c>
      <c r="E52" s="4">
        <v>2205</v>
      </c>
      <c r="F52">
        <v>441</v>
      </c>
    </row>
    <row r="53" spans="1:6" x14ac:dyDescent="0.25">
      <c r="A53" t="s">
        <v>292</v>
      </c>
      <c r="E53" s="4">
        <v>2205</v>
      </c>
      <c r="F53">
        <v>441</v>
      </c>
    </row>
    <row r="54" spans="1:6" x14ac:dyDescent="0.25">
      <c r="A54" t="s">
        <v>208</v>
      </c>
      <c r="B54" t="s">
        <v>209</v>
      </c>
      <c r="C54" t="s">
        <v>28</v>
      </c>
      <c r="D54" t="s">
        <v>29</v>
      </c>
      <c r="E54" s="4">
        <v>240</v>
      </c>
    </row>
    <row r="55" spans="1:6" x14ac:dyDescent="0.25">
      <c r="A55" t="s">
        <v>293</v>
      </c>
      <c r="E55" s="4">
        <v>240</v>
      </c>
    </row>
    <row r="56" spans="1:6" x14ac:dyDescent="0.25">
      <c r="A56" t="s">
        <v>210</v>
      </c>
      <c r="B56" t="s">
        <v>211</v>
      </c>
      <c r="C56" t="s">
        <v>134</v>
      </c>
      <c r="D56" t="s">
        <v>135</v>
      </c>
      <c r="E56" s="4">
        <v>103.65</v>
      </c>
    </row>
    <row r="57" spans="1:6" x14ac:dyDescent="0.25">
      <c r="A57" t="s">
        <v>294</v>
      </c>
      <c r="E57" s="4">
        <v>103.65</v>
      </c>
    </row>
    <row r="58" spans="1:6" x14ac:dyDescent="0.25">
      <c r="A58" t="s">
        <v>212</v>
      </c>
      <c r="B58" t="s">
        <v>213</v>
      </c>
      <c r="C58" t="s">
        <v>216</v>
      </c>
      <c r="D58" t="s">
        <v>217</v>
      </c>
      <c r="E58" s="4">
        <v>378</v>
      </c>
    </row>
    <row r="59" spans="1:6" x14ac:dyDescent="0.25">
      <c r="C59" t="s">
        <v>214</v>
      </c>
      <c r="D59" t="s">
        <v>215</v>
      </c>
      <c r="E59" s="4">
        <v>204</v>
      </c>
    </row>
    <row r="60" spans="1:6" x14ac:dyDescent="0.25">
      <c r="A60" t="s">
        <v>295</v>
      </c>
      <c r="E60" s="4">
        <v>582</v>
      </c>
    </row>
    <row r="61" spans="1:6" x14ac:dyDescent="0.25">
      <c r="A61" t="s">
        <v>188</v>
      </c>
      <c r="B61" t="s">
        <v>189</v>
      </c>
      <c r="C61" t="s">
        <v>70</v>
      </c>
      <c r="D61" t="s">
        <v>71</v>
      </c>
      <c r="E61" s="4">
        <v>250</v>
      </c>
      <c r="F61">
        <v>50</v>
      </c>
    </row>
    <row r="62" spans="1:6" x14ac:dyDescent="0.25">
      <c r="C62" t="s">
        <v>68</v>
      </c>
      <c r="D62" t="s">
        <v>69</v>
      </c>
      <c r="E62" s="4">
        <v>170.8</v>
      </c>
      <c r="F62">
        <v>34.159999999999997</v>
      </c>
    </row>
    <row r="63" spans="1:6" x14ac:dyDescent="0.25">
      <c r="A63" t="s">
        <v>296</v>
      </c>
      <c r="E63" s="4">
        <v>420.8</v>
      </c>
      <c r="F63">
        <v>84.16</v>
      </c>
    </row>
    <row r="64" spans="1:6" x14ac:dyDescent="0.25">
      <c r="A64" t="s">
        <v>218</v>
      </c>
      <c r="B64" t="s">
        <v>219</v>
      </c>
      <c r="C64" t="s">
        <v>220</v>
      </c>
      <c r="D64" t="s">
        <v>221</v>
      </c>
      <c r="E64" s="4">
        <v>20</v>
      </c>
    </row>
    <row r="65" spans="1:5" x14ac:dyDescent="0.25">
      <c r="A65" t="s">
        <v>297</v>
      </c>
      <c r="E65" s="4">
        <v>20</v>
      </c>
    </row>
    <row r="66" spans="1:5" x14ac:dyDescent="0.25">
      <c r="A66" t="s">
        <v>222</v>
      </c>
      <c r="B66" t="s">
        <v>223</v>
      </c>
      <c r="C66" t="s">
        <v>224</v>
      </c>
      <c r="D66" t="s">
        <v>225</v>
      </c>
      <c r="E66" s="4">
        <v>240</v>
      </c>
    </row>
    <row r="67" spans="1:5" x14ac:dyDescent="0.25">
      <c r="A67" t="s">
        <v>298</v>
      </c>
      <c r="E67" s="4">
        <v>240</v>
      </c>
    </row>
    <row r="68" spans="1:5" x14ac:dyDescent="0.25">
      <c r="A68" t="s">
        <v>226</v>
      </c>
      <c r="B68" t="s">
        <v>227</v>
      </c>
      <c r="C68" t="s">
        <v>228</v>
      </c>
      <c r="D68" t="s">
        <v>229</v>
      </c>
      <c r="E68" s="4">
        <v>1260</v>
      </c>
    </row>
    <row r="69" spans="1:5" x14ac:dyDescent="0.25">
      <c r="C69" t="s">
        <v>70</v>
      </c>
      <c r="D69" t="s">
        <v>71</v>
      </c>
      <c r="E69" s="4">
        <v>1750</v>
      </c>
    </row>
    <row r="70" spans="1:5" x14ac:dyDescent="0.25">
      <c r="C70" t="s">
        <v>96</v>
      </c>
      <c r="D70" t="s">
        <v>97</v>
      </c>
      <c r="E70" s="4">
        <v>1820</v>
      </c>
    </row>
    <row r="71" spans="1:5" x14ac:dyDescent="0.25">
      <c r="C71" t="s">
        <v>232</v>
      </c>
      <c r="D71" t="s">
        <v>233</v>
      </c>
      <c r="E71" s="4">
        <v>2022.5</v>
      </c>
    </row>
    <row r="72" spans="1:5" x14ac:dyDescent="0.25">
      <c r="C72" t="s">
        <v>112</v>
      </c>
      <c r="D72" t="s">
        <v>113</v>
      </c>
      <c r="E72" s="4">
        <v>2100</v>
      </c>
    </row>
    <row r="73" spans="1:5" x14ac:dyDescent="0.25">
      <c r="C73" t="s">
        <v>230</v>
      </c>
      <c r="D73" t="s">
        <v>231</v>
      </c>
      <c r="E73" s="4">
        <v>1020</v>
      </c>
    </row>
    <row r="74" spans="1:5" x14ac:dyDescent="0.25">
      <c r="A74" t="s">
        <v>299</v>
      </c>
      <c r="E74" s="20">
        <v>9972.5</v>
      </c>
    </row>
    <row r="75" spans="1:5" x14ac:dyDescent="0.25">
      <c r="A75" t="s">
        <v>234</v>
      </c>
      <c r="B75" t="s">
        <v>235</v>
      </c>
      <c r="C75" t="s">
        <v>24</v>
      </c>
      <c r="D75" t="s">
        <v>25</v>
      </c>
      <c r="E75" s="4">
        <v>15</v>
      </c>
    </row>
    <row r="76" spans="1:5" x14ac:dyDescent="0.25">
      <c r="C76" t="s">
        <v>48</v>
      </c>
      <c r="D76" t="s">
        <v>40</v>
      </c>
      <c r="E76" s="4">
        <v>80</v>
      </c>
    </row>
    <row r="77" spans="1:5" x14ac:dyDescent="0.25">
      <c r="C77" t="s">
        <v>54</v>
      </c>
      <c r="D77" t="s">
        <v>43</v>
      </c>
      <c r="E77" s="4">
        <v>220</v>
      </c>
    </row>
    <row r="78" spans="1:5" x14ac:dyDescent="0.25">
      <c r="C78" t="s">
        <v>130</v>
      </c>
      <c r="D78" t="s">
        <v>131</v>
      </c>
      <c r="E78" s="4">
        <v>128</v>
      </c>
    </row>
    <row r="79" spans="1:5" x14ac:dyDescent="0.25">
      <c r="C79" t="s">
        <v>216</v>
      </c>
      <c r="D79" t="s">
        <v>217</v>
      </c>
      <c r="E79" s="4">
        <v>-378</v>
      </c>
    </row>
    <row r="80" spans="1:5" x14ac:dyDescent="0.25">
      <c r="C80" t="s">
        <v>214</v>
      </c>
      <c r="D80" t="s">
        <v>215</v>
      </c>
      <c r="E80" s="4">
        <v>-68</v>
      </c>
    </row>
    <row r="81" spans="1:6" x14ac:dyDescent="0.25">
      <c r="A81" t="s">
        <v>300</v>
      </c>
      <c r="E81" s="4">
        <v>-3</v>
      </c>
    </row>
    <row r="82" spans="1:6" x14ac:dyDescent="0.25">
      <c r="A82" t="s">
        <v>236</v>
      </c>
      <c r="B82" t="s">
        <v>237</v>
      </c>
      <c r="C82" t="s">
        <v>126</v>
      </c>
      <c r="D82" t="s">
        <v>127</v>
      </c>
      <c r="E82" s="4">
        <v>2380</v>
      </c>
    </row>
    <row r="83" spans="1:6" x14ac:dyDescent="0.25">
      <c r="A83" t="s">
        <v>301</v>
      </c>
      <c r="E83" s="4">
        <v>2380</v>
      </c>
    </row>
    <row r="84" spans="1:6" x14ac:dyDescent="0.25">
      <c r="A84" t="s">
        <v>238</v>
      </c>
      <c r="B84" t="s">
        <v>239</v>
      </c>
      <c r="C84" t="s">
        <v>76</v>
      </c>
      <c r="D84" t="s">
        <v>77</v>
      </c>
      <c r="E84" s="4">
        <v>28.25</v>
      </c>
    </row>
    <row r="85" spans="1:6" x14ac:dyDescent="0.25">
      <c r="A85" t="s">
        <v>302</v>
      </c>
      <c r="E85" s="4">
        <v>28.25</v>
      </c>
    </row>
    <row r="86" spans="1:6" x14ac:dyDescent="0.25">
      <c r="A86" t="s">
        <v>240</v>
      </c>
      <c r="B86" t="s">
        <v>241</v>
      </c>
      <c r="C86" t="s">
        <v>242</v>
      </c>
      <c r="D86" t="s">
        <v>243</v>
      </c>
      <c r="E86" s="4">
        <v>118</v>
      </c>
    </row>
    <row r="87" spans="1:6" x14ac:dyDescent="0.25">
      <c r="A87" t="s">
        <v>303</v>
      </c>
      <c r="E87" s="4">
        <v>118</v>
      </c>
    </row>
    <row r="88" spans="1:6" x14ac:dyDescent="0.25">
      <c r="A88" t="s">
        <v>244</v>
      </c>
      <c r="B88" t="s">
        <v>245</v>
      </c>
      <c r="C88" t="s">
        <v>126</v>
      </c>
      <c r="D88" t="s">
        <v>127</v>
      </c>
      <c r="E88" s="4">
        <v>4760</v>
      </c>
      <c r="F88">
        <v>952</v>
      </c>
    </row>
    <row r="89" spans="1:6" x14ac:dyDescent="0.25">
      <c r="A89" t="s">
        <v>304</v>
      </c>
      <c r="E89" s="4">
        <v>4760</v>
      </c>
      <c r="F89">
        <v>952</v>
      </c>
    </row>
    <row r="90" spans="1:6" x14ac:dyDescent="0.25">
      <c r="A90" t="s">
        <v>190</v>
      </c>
      <c r="B90" t="s">
        <v>191</v>
      </c>
      <c r="C90" t="s">
        <v>194</v>
      </c>
      <c r="D90" t="s">
        <v>195</v>
      </c>
      <c r="E90" s="4">
        <v>168</v>
      </c>
    </row>
    <row r="91" spans="1:6" x14ac:dyDescent="0.25">
      <c r="C91" t="s">
        <v>128</v>
      </c>
      <c r="D91" t="s">
        <v>129</v>
      </c>
      <c r="E91" s="4">
        <v>90</v>
      </c>
    </row>
    <row r="92" spans="1:6" x14ac:dyDescent="0.25">
      <c r="C92" t="s">
        <v>122</v>
      </c>
      <c r="D92" t="s">
        <v>123</v>
      </c>
      <c r="E92" s="4">
        <v>1200</v>
      </c>
    </row>
    <row r="93" spans="1:6" x14ac:dyDescent="0.25">
      <c r="C93" t="s">
        <v>120</v>
      </c>
      <c r="D93" t="s">
        <v>121</v>
      </c>
      <c r="E93" s="4">
        <v>1700</v>
      </c>
    </row>
    <row r="94" spans="1:6" x14ac:dyDescent="0.25">
      <c r="C94" t="s">
        <v>192</v>
      </c>
      <c r="D94" t="s">
        <v>193</v>
      </c>
      <c r="E94" s="4">
        <v>840</v>
      </c>
    </row>
    <row r="95" spans="1:6" x14ac:dyDescent="0.25">
      <c r="A95" t="s">
        <v>305</v>
      </c>
      <c r="E95" s="20">
        <v>3998</v>
      </c>
    </row>
    <row r="96" spans="1:6" x14ac:dyDescent="0.25">
      <c r="A96" t="s">
        <v>246</v>
      </c>
      <c r="B96" t="s">
        <v>247</v>
      </c>
      <c r="C96" t="s">
        <v>92</v>
      </c>
      <c r="D96" t="s">
        <v>93</v>
      </c>
      <c r="E96" s="4">
        <v>100</v>
      </c>
    </row>
    <row r="97" spans="1:5" x14ac:dyDescent="0.25">
      <c r="A97" t="s">
        <v>306</v>
      </c>
      <c r="E97" s="4">
        <v>100</v>
      </c>
    </row>
    <row r="98" spans="1:5" x14ac:dyDescent="0.25">
      <c r="A98" t="s">
        <v>196</v>
      </c>
      <c r="B98" t="s">
        <v>197</v>
      </c>
      <c r="C98" t="s">
        <v>56</v>
      </c>
      <c r="D98" t="s">
        <v>37</v>
      </c>
      <c r="E98" s="4">
        <v>55</v>
      </c>
    </row>
    <row r="99" spans="1:5" x14ac:dyDescent="0.25">
      <c r="A99" t="s">
        <v>307</v>
      </c>
      <c r="E99" s="4">
        <v>55</v>
      </c>
    </row>
    <row r="100" spans="1:5" x14ac:dyDescent="0.25">
      <c r="A100" t="s">
        <v>248</v>
      </c>
      <c r="B100" t="s">
        <v>249</v>
      </c>
      <c r="C100" t="s">
        <v>104</v>
      </c>
      <c r="D100" t="s">
        <v>105</v>
      </c>
      <c r="E100" s="4">
        <v>178.8</v>
      </c>
    </row>
    <row r="101" spans="1:5" x14ac:dyDescent="0.25">
      <c r="A101" t="s">
        <v>308</v>
      </c>
      <c r="E101" s="4">
        <v>178.8</v>
      </c>
    </row>
    <row r="102" spans="1:5" x14ac:dyDescent="0.25">
      <c r="A102" t="s">
        <v>250</v>
      </c>
      <c r="B102" t="s">
        <v>251</v>
      </c>
      <c r="C102" t="s">
        <v>252</v>
      </c>
      <c r="D102" t="s">
        <v>253</v>
      </c>
      <c r="E102" s="4">
        <v>180</v>
      </c>
    </row>
    <row r="103" spans="1:5" x14ac:dyDescent="0.25">
      <c r="C103" t="s">
        <v>108</v>
      </c>
      <c r="D103" t="s">
        <v>109</v>
      </c>
      <c r="E103" s="4">
        <v>1738.8</v>
      </c>
    </row>
    <row r="104" spans="1:5" x14ac:dyDescent="0.25">
      <c r="A104" t="s">
        <v>309</v>
      </c>
      <c r="E104" s="4">
        <v>1918.8</v>
      </c>
    </row>
    <row r="105" spans="1:5" x14ac:dyDescent="0.25">
      <c r="A105" t="s">
        <v>254</v>
      </c>
      <c r="B105" t="s">
        <v>255</v>
      </c>
      <c r="C105" t="s">
        <v>232</v>
      </c>
      <c r="D105" t="s">
        <v>233</v>
      </c>
      <c r="E105" s="4">
        <v>809</v>
      </c>
    </row>
    <row r="106" spans="1:5" x14ac:dyDescent="0.25">
      <c r="A106" t="s">
        <v>310</v>
      </c>
      <c r="E106" s="4">
        <v>809</v>
      </c>
    </row>
    <row r="107" spans="1:5" x14ac:dyDescent="0.25">
      <c r="A107" t="s">
        <v>256</v>
      </c>
      <c r="B107" t="s">
        <v>257</v>
      </c>
      <c r="C107" t="s">
        <v>74</v>
      </c>
      <c r="D107" t="s">
        <v>75</v>
      </c>
      <c r="E107" s="4">
        <v>70</v>
      </c>
    </row>
    <row r="108" spans="1:5" x14ac:dyDescent="0.25">
      <c r="A108" t="s">
        <v>311</v>
      </c>
      <c r="E108" s="4">
        <v>70</v>
      </c>
    </row>
    <row r="109" spans="1:5" x14ac:dyDescent="0.25">
      <c r="A109" t="s">
        <v>258</v>
      </c>
      <c r="B109" t="s">
        <v>259</v>
      </c>
      <c r="C109" t="s">
        <v>33</v>
      </c>
      <c r="D109" t="s">
        <v>34</v>
      </c>
      <c r="E109" s="4">
        <v>14</v>
      </c>
    </row>
    <row r="110" spans="1:5" x14ac:dyDescent="0.25">
      <c r="A110" t="s">
        <v>312</v>
      </c>
      <c r="E110" s="4">
        <v>14</v>
      </c>
    </row>
    <row r="111" spans="1:5" x14ac:dyDescent="0.25">
      <c r="A111" t="s">
        <v>260</v>
      </c>
      <c r="B111" t="s">
        <v>261</v>
      </c>
      <c r="C111" t="s">
        <v>262</v>
      </c>
      <c r="D111" t="s">
        <v>263</v>
      </c>
      <c r="E111" s="4">
        <v>30</v>
      </c>
    </row>
    <row r="112" spans="1:5" x14ac:dyDescent="0.25">
      <c r="A112" t="s">
        <v>313</v>
      </c>
      <c r="E112" s="4">
        <v>30</v>
      </c>
    </row>
    <row r="113" spans="1:6" x14ac:dyDescent="0.25">
      <c r="A113" t="s">
        <v>264</v>
      </c>
      <c r="B113" t="s">
        <v>265</v>
      </c>
      <c r="C113" t="s">
        <v>55</v>
      </c>
      <c r="D113" t="s">
        <v>44</v>
      </c>
      <c r="E113" s="4">
        <v>45</v>
      </c>
    </row>
    <row r="114" spans="1:6" x14ac:dyDescent="0.25">
      <c r="A114" t="s">
        <v>314</v>
      </c>
      <c r="E114" s="4">
        <v>45</v>
      </c>
    </row>
    <row r="115" spans="1:6" x14ac:dyDescent="0.25">
      <c r="A115" t="s">
        <v>266</v>
      </c>
      <c r="B115" t="s">
        <v>267</v>
      </c>
      <c r="C115" t="s">
        <v>33</v>
      </c>
      <c r="D115" t="s">
        <v>34</v>
      </c>
      <c r="E115" s="4">
        <v>14</v>
      </c>
    </row>
    <row r="116" spans="1:6" x14ac:dyDescent="0.25">
      <c r="A116" t="s">
        <v>315</v>
      </c>
      <c r="E116" s="4">
        <v>14</v>
      </c>
    </row>
    <row r="117" spans="1:6" x14ac:dyDescent="0.25">
      <c r="A117" t="s">
        <v>198</v>
      </c>
      <c r="B117" t="s">
        <v>199</v>
      </c>
      <c r="C117" t="s">
        <v>72</v>
      </c>
      <c r="D117" t="s">
        <v>73</v>
      </c>
      <c r="E117" s="4">
        <v>690</v>
      </c>
    </row>
    <row r="118" spans="1:6" x14ac:dyDescent="0.25">
      <c r="C118" t="s">
        <v>100</v>
      </c>
      <c r="D118" t="s">
        <v>101</v>
      </c>
      <c r="E118" s="4">
        <v>1089</v>
      </c>
    </row>
    <row r="119" spans="1:6" x14ac:dyDescent="0.25">
      <c r="C119" t="s">
        <v>124</v>
      </c>
      <c r="D119" t="s">
        <v>125</v>
      </c>
      <c r="E119" s="4">
        <v>240</v>
      </c>
    </row>
    <row r="120" spans="1:6" x14ac:dyDescent="0.25">
      <c r="A120" t="s">
        <v>316</v>
      </c>
      <c r="E120" s="4">
        <v>2019</v>
      </c>
    </row>
    <row r="121" spans="1:6" x14ac:dyDescent="0.25">
      <c r="A121" t="s">
        <v>268</v>
      </c>
      <c r="B121" t="s">
        <v>269</v>
      </c>
      <c r="C121" t="s">
        <v>116</v>
      </c>
      <c r="D121" t="s">
        <v>117</v>
      </c>
      <c r="E121" s="4">
        <v>84.9</v>
      </c>
    </row>
    <row r="122" spans="1:6" x14ac:dyDescent="0.25">
      <c r="A122" t="s">
        <v>317</v>
      </c>
      <c r="E122" s="4">
        <v>84.9</v>
      </c>
    </row>
    <row r="123" spans="1:6" x14ac:dyDescent="0.25">
      <c r="A123" t="s">
        <v>272</v>
      </c>
      <c r="E123" s="4">
        <v>45467.750000000007</v>
      </c>
      <c r="F123">
        <v>2201.96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9AEF-344A-4AC3-A7A4-334D17F04695}">
  <dimension ref="A1:AA80"/>
  <sheetViews>
    <sheetView workbookViewId="0">
      <selection activeCell="A2" sqref="A2"/>
    </sheetView>
  </sheetViews>
  <sheetFormatPr defaultRowHeight="15" x14ac:dyDescent="0.25"/>
  <cols>
    <col min="1" max="1" width="24.140625" bestFit="1" customWidth="1"/>
    <col min="2" max="2" width="11.5703125" style="9" bestFit="1" customWidth="1"/>
    <col min="3" max="4" width="11" bestFit="1" customWidth="1"/>
    <col min="5" max="5" width="15.140625" bestFit="1" customWidth="1"/>
    <col min="6" max="6" width="37" bestFit="1" customWidth="1"/>
    <col min="7" max="7" width="8.140625" bestFit="1" customWidth="1"/>
    <col min="8" max="8" width="7.42578125" bestFit="1" customWidth="1"/>
    <col min="9" max="9" width="6.5703125" bestFit="1" customWidth="1"/>
    <col min="10" max="12" width="8.140625" bestFit="1" customWidth="1"/>
    <col min="13" max="13" width="7.85546875" bestFit="1" customWidth="1"/>
    <col min="14" max="14" width="8.5703125" bestFit="1" customWidth="1"/>
    <col min="15" max="15" width="8.140625" bestFit="1" customWidth="1"/>
    <col min="16" max="16" width="12.7109375" bestFit="1" customWidth="1"/>
  </cols>
  <sheetData>
    <row r="1" spans="1:27" s="14" customFormat="1" ht="30" x14ac:dyDescent="0.25">
      <c r="A1" s="14" t="s">
        <v>63</v>
      </c>
      <c r="B1" s="15" t="s">
        <v>3</v>
      </c>
      <c r="C1" s="14" t="s">
        <v>4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7" t="s">
        <v>12</v>
      </c>
      <c r="L1" s="16" t="s">
        <v>13</v>
      </c>
      <c r="M1" s="16" t="s">
        <v>14</v>
      </c>
      <c r="N1" s="17" t="s">
        <v>15</v>
      </c>
      <c r="O1" s="16" t="s">
        <v>16</v>
      </c>
      <c r="P1" s="16" t="s">
        <v>17</v>
      </c>
      <c r="Q1" s="16"/>
      <c r="R1" s="16"/>
      <c r="S1" s="16"/>
      <c r="T1" s="16"/>
      <c r="U1" s="16"/>
      <c r="V1" s="16"/>
      <c r="W1" s="16"/>
      <c r="X1" s="16"/>
      <c r="Y1" s="16"/>
      <c r="Z1" s="16"/>
      <c r="AA1" s="18"/>
    </row>
    <row r="2" spans="1:27" x14ac:dyDescent="0.25">
      <c r="A2" s="2" t="s">
        <v>136</v>
      </c>
      <c r="B2" s="9">
        <v>0.27638888888888891</v>
      </c>
      <c r="C2" s="3" t="s">
        <v>137</v>
      </c>
      <c r="D2" s="6" t="s">
        <v>138</v>
      </c>
      <c r="E2" s="6" t="s">
        <v>94</v>
      </c>
      <c r="F2" s="6" t="s">
        <v>95</v>
      </c>
      <c r="G2" s="4">
        <v>12</v>
      </c>
      <c r="H2" s="4" t="s">
        <v>18</v>
      </c>
      <c r="I2" s="4">
        <v>3</v>
      </c>
      <c r="J2" s="4">
        <v>12</v>
      </c>
      <c r="K2" s="4">
        <v>36</v>
      </c>
      <c r="L2" s="4">
        <v>31.53</v>
      </c>
      <c r="M2" s="4"/>
      <c r="N2" s="4"/>
      <c r="O2" s="4">
        <v>4.47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7" x14ac:dyDescent="0.25">
      <c r="A3" s="2" t="s">
        <v>136</v>
      </c>
      <c r="B3" s="9">
        <v>0.27777777777777779</v>
      </c>
      <c r="C3" s="3" t="s">
        <v>139</v>
      </c>
      <c r="D3" s="6" t="s">
        <v>140</v>
      </c>
      <c r="E3" s="6" t="s">
        <v>141</v>
      </c>
      <c r="F3" s="6" t="s">
        <v>142</v>
      </c>
      <c r="G3" s="4">
        <v>42</v>
      </c>
      <c r="H3" s="4" t="s">
        <v>18</v>
      </c>
      <c r="I3" s="4">
        <v>1</v>
      </c>
      <c r="J3" s="4">
        <v>42</v>
      </c>
      <c r="K3" s="4">
        <v>42</v>
      </c>
      <c r="L3" s="4">
        <v>33</v>
      </c>
      <c r="M3" s="4"/>
      <c r="N3" s="4"/>
      <c r="O3" s="4">
        <v>9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7" x14ac:dyDescent="0.25">
      <c r="A4" s="2" t="s">
        <v>136</v>
      </c>
      <c r="B4" s="9">
        <v>0.27777777777777779</v>
      </c>
      <c r="C4" s="3" t="s">
        <v>139</v>
      </c>
      <c r="D4" s="6" t="s">
        <v>140</v>
      </c>
      <c r="E4" s="6" t="s">
        <v>143</v>
      </c>
      <c r="F4" s="6" t="s">
        <v>144</v>
      </c>
      <c r="G4" s="4">
        <v>12</v>
      </c>
      <c r="H4" s="4" t="s">
        <v>18</v>
      </c>
      <c r="I4" s="4">
        <v>1</v>
      </c>
      <c r="J4" s="4">
        <v>12</v>
      </c>
      <c r="K4" s="4">
        <v>12</v>
      </c>
      <c r="L4" s="4">
        <v>9</v>
      </c>
      <c r="M4" s="4"/>
      <c r="N4" s="4"/>
      <c r="O4" s="4">
        <v>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7" x14ac:dyDescent="0.25">
      <c r="A5" s="2" t="s">
        <v>136</v>
      </c>
      <c r="B5" s="9">
        <v>0.3034722222222222</v>
      </c>
      <c r="C5" s="3" t="s">
        <v>145</v>
      </c>
      <c r="D5" s="6" t="s">
        <v>146</v>
      </c>
      <c r="E5" s="6" t="s">
        <v>50</v>
      </c>
      <c r="F5" s="6" t="s">
        <v>45</v>
      </c>
      <c r="G5" s="4">
        <v>75</v>
      </c>
      <c r="H5" s="4" t="s">
        <v>18</v>
      </c>
      <c r="I5" s="4">
        <v>2</v>
      </c>
      <c r="J5" s="4">
        <v>75</v>
      </c>
      <c r="K5" s="4">
        <v>150</v>
      </c>
      <c r="L5" s="4">
        <v>42</v>
      </c>
      <c r="M5" s="4"/>
      <c r="N5" s="4"/>
      <c r="O5" s="4">
        <v>108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7" x14ac:dyDescent="0.25">
      <c r="A6" s="2" t="s">
        <v>136</v>
      </c>
      <c r="B6" s="9">
        <v>0.32222222222222224</v>
      </c>
      <c r="C6" s="3" t="s">
        <v>147</v>
      </c>
      <c r="D6" s="6" t="s">
        <v>148</v>
      </c>
      <c r="E6" s="6" t="s">
        <v>149</v>
      </c>
      <c r="F6" s="6" t="s">
        <v>150</v>
      </c>
      <c r="G6" s="4">
        <v>3955</v>
      </c>
      <c r="H6" s="4" t="s">
        <v>18</v>
      </c>
      <c r="I6" s="4">
        <v>1</v>
      </c>
      <c r="J6" s="4">
        <v>3955</v>
      </c>
      <c r="K6" s="4">
        <v>3955</v>
      </c>
      <c r="L6" s="4">
        <v>2300</v>
      </c>
      <c r="M6" s="4"/>
      <c r="N6" s="4"/>
      <c r="O6" s="4">
        <v>1655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7" x14ac:dyDescent="0.25">
      <c r="A7" s="2" t="s">
        <v>136</v>
      </c>
      <c r="B7" s="9">
        <v>0.33263888888888887</v>
      </c>
      <c r="C7" s="3" t="s">
        <v>151</v>
      </c>
      <c r="D7" s="6" t="s">
        <v>152</v>
      </c>
      <c r="E7" s="6" t="s">
        <v>106</v>
      </c>
      <c r="F7" s="6" t="s">
        <v>107</v>
      </c>
      <c r="G7" s="4">
        <v>28</v>
      </c>
      <c r="H7" s="4" t="s">
        <v>18</v>
      </c>
      <c r="I7" s="4">
        <v>1</v>
      </c>
      <c r="J7" s="4">
        <v>28</v>
      </c>
      <c r="K7" s="4">
        <v>28</v>
      </c>
      <c r="L7" s="4">
        <v>12</v>
      </c>
      <c r="M7" s="4"/>
      <c r="N7" s="4"/>
      <c r="O7" s="4">
        <v>16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7" x14ac:dyDescent="0.25">
      <c r="A8" s="2" t="s">
        <v>136</v>
      </c>
      <c r="B8" s="9">
        <v>0.33263888888888887</v>
      </c>
      <c r="C8" s="3" t="s">
        <v>151</v>
      </c>
      <c r="D8" s="6" t="s">
        <v>152</v>
      </c>
      <c r="E8" s="6" t="s">
        <v>26</v>
      </c>
      <c r="F8" s="6" t="s">
        <v>27</v>
      </c>
      <c r="G8" s="4">
        <v>35</v>
      </c>
      <c r="H8" s="4" t="s">
        <v>18</v>
      </c>
      <c r="I8" s="4">
        <v>1</v>
      </c>
      <c r="J8" s="4">
        <v>35</v>
      </c>
      <c r="K8" s="4">
        <v>35</v>
      </c>
      <c r="L8" s="4">
        <v>9.5</v>
      </c>
      <c r="M8" s="4"/>
      <c r="N8" s="4"/>
      <c r="O8" s="4">
        <v>25.5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7" x14ac:dyDescent="0.25">
      <c r="A9" s="2" t="s">
        <v>136</v>
      </c>
      <c r="B9" s="9">
        <v>0.33750000000000002</v>
      </c>
      <c r="C9" s="3" t="s">
        <v>153</v>
      </c>
      <c r="D9" s="6" t="s">
        <v>154</v>
      </c>
      <c r="E9" s="6" t="s">
        <v>155</v>
      </c>
      <c r="F9" s="6" t="s">
        <v>156</v>
      </c>
      <c r="G9" s="4">
        <v>30.31</v>
      </c>
      <c r="H9" s="4" t="s">
        <v>18</v>
      </c>
      <c r="I9" s="4">
        <v>73</v>
      </c>
      <c r="J9" s="4">
        <v>30.31</v>
      </c>
      <c r="K9" s="4">
        <v>2212.63</v>
      </c>
      <c r="L9" s="4">
        <v>1535.92</v>
      </c>
      <c r="M9" s="4"/>
      <c r="N9" s="4"/>
      <c r="O9" s="4">
        <v>676.71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7" x14ac:dyDescent="0.25">
      <c r="A10" s="2" t="s">
        <v>136</v>
      </c>
      <c r="B10" s="9">
        <v>0.33750000000000002</v>
      </c>
      <c r="C10" s="3" t="s">
        <v>153</v>
      </c>
      <c r="D10" s="6" t="s">
        <v>154</v>
      </c>
      <c r="E10" s="6" t="s">
        <v>157</v>
      </c>
      <c r="F10" s="6" t="s">
        <v>158</v>
      </c>
      <c r="G10" s="4">
        <v>7</v>
      </c>
      <c r="H10" s="4" t="s">
        <v>18</v>
      </c>
      <c r="I10" s="4">
        <v>64</v>
      </c>
      <c r="J10" s="4">
        <v>7</v>
      </c>
      <c r="K10" s="4">
        <v>448</v>
      </c>
      <c r="L10" s="4">
        <v>160</v>
      </c>
      <c r="M10" s="4"/>
      <c r="N10" s="4"/>
      <c r="O10" s="4">
        <v>288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7" x14ac:dyDescent="0.25">
      <c r="A11" s="2" t="s">
        <v>136</v>
      </c>
      <c r="B11" s="9">
        <v>0.34305555555555556</v>
      </c>
      <c r="C11" s="3" t="s">
        <v>159</v>
      </c>
      <c r="D11" s="6" t="s">
        <v>160</v>
      </c>
      <c r="E11" s="6" t="s">
        <v>161</v>
      </c>
      <c r="F11" s="6" t="s">
        <v>162</v>
      </c>
      <c r="G11" s="4">
        <v>30</v>
      </c>
      <c r="H11" s="4" t="s">
        <v>18</v>
      </c>
      <c r="I11" s="4">
        <v>1</v>
      </c>
      <c r="J11" s="4">
        <v>30</v>
      </c>
      <c r="K11" s="4">
        <v>30</v>
      </c>
      <c r="L11" s="4">
        <v>23</v>
      </c>
      <c r="M11" s="4"/>
      <c r="N11" s="4"/>
      <c r="O11" s="4">
        <v>7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7" x14ac:dyDescent="0.25">
      <c r="A12" s="2" t="s">
        <v>136</v>
      </c>
      <c r="B12" s="9">
        <v>0.35208333333333336</v>
      </c>
      <c r="C12" s="3" t="s">
        <v>163</v>
      </c>
      <c r="D12" s="6" t="s">
        <v>164</v>
      </c>
      <c r="E12" s="6" t="s">
        <v>132</v>
      </c>
      <c r="F12" s="6" t="s">
        <v>133</v>
      </c>
      <c r="G12" s="4">
        <v>64</v>
      </c>
      <c r="H12" s="4" t="s">
        <v>18</v>
      </c>
      <c r="I12" s="4">
        <v>1</v>
      </c>
      <c r="J12" s="4">
        <v>64</v>
      </c>
      <c r="K12" s="4">
        <v>64</v>
      </c>
      <c r="L12" s="4">
        <v>19</v>
      </c>
      <c r="M12" s="4"/>
      <c r="N12" s="4"/>
      <c r="O12" s="4">
        <v>45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7" x14ac:dyDescent="0.25">
      <c r="A13" s="2" t="s">
        <v>136</v>
      </c>
      <c r="B13" s="9">
        <v>0.35486111111111113</v>
      </c>
      <c r="C13" s="3" t="s">
        <v>165</v>
      </c>
      <c r="D13" s="6" t="s">
        <v>166</v>
      </c>
      <c r="E13" s="6" t="s">
        <v>26</v>
      </c>
      <c r="F13" s="6" t="s">
        <v>27</v>
      </c>
      <c r="G13" s="4">
        <v>35</v>
      </c>
      <c r="H13" s="4" t="s">
        <v>18</v>
      </c>
      <c r="I13" s="4">
        <v>1</v>
      </c>
      <c r="J13" s="4">
        <v>35</v>
      </c>
      <c r="K13" s="4">
        <v>35</v>
      </c>
      <c r="L13" s="4">
        <v>9.5</v>
      </c>
      <c r="M13" s="4"/>
      <c r="N13" s="4"/>
      <c r="O13" s="4">
        <v>25.5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7" x14ac:dyDescent="0.25">
      <c r="A14" s="2" t="s">
        <v>136</v>
      </c>
      <c r="B14" s="9">
        <v>0.35486111111111113</v>
      </c>
      <c r="C14" s="3" t="s">
        <v>165</v>
      </c>
      <c r="D14" s="6" t="s">
        <v>166</v>
      </c>
      <c r="E14" s="6" t="s">
        <v>106</v>
      </c>
      <c r="F14" s="6" t="s">
        <v>107</v>
      </c>
      <c r="G14" s="4">
        <v>28</v>
      </c>
      <c r="H14" s="4" t="s">
        <v>18</v>
      </c>
      <c r="I14" s="4">
        <v>1</v>
      </c>
      <c r="J14" s="4">
        <v>28</v>
      </c>
      <c r="K14" s="4">
        <v>28</v>
      </c>
      <c r="L14" s="4">
        <v>12</v>
      </c>
      <c r="M14" s="4"/>
      <c r="N14" s="4"/>
      <c r="O14" s="4">
        <v>16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7" x14ac:dyDescent="0.25">
      <c r="A15" s="2" t="s">
        <v>136</v>
      </c>
      <c r="B15" s="9">
        <v>0.35555555555555557</v>
      </c>
      <c r="C15" s="3" t="s">
        <v>165</v>
      </c>
      <c r="D15" s="6" t="s">
        <v>166</v>
      </c>
      <c r="E15" s="6" t="s">
        <v>167</v>
      </c>
      <c r="F15" s="6" t="s">
        <v>168</v>
      </c>
      <c r="G15" s="4">
        <v>44</v>
      </c>
      <c r="H15" s="4" t="s">
        <v>18</v>
      </c>
      <c r="I15" s="4">
        <v>5</v>
      </c>
      <c r="J15" s="4">
        <v>44</v>
      </c>
      <c r="K15" s="4">
        <v>220</v>
      </c>
      <c r="L15" s="4">
        <v>200</v>
      </c>
      <c r="M15" s="4"/>
      <c r="N15" s="4"/>
      <c r="O15" s="4">
        <v>20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7" x14ac:dyDescent="0.25">
      <c r="A16" s="2" t="s">
        <v>136</v>
      </c>
      <c r="B16" s="9">
        <v>0.35555555555555557</v>
      </c>
      <c r="C16" s="3" t="s">
        <v>165</v>
      </c>
      <c r="D16" s="6" t="s">
        <v>166</v>
      </c>
      <c r="E16" s="6" t="s">
        <v>78</v>
      </c>
      <c r="F16" s="6" t="s">
        <v>79</v>
      </c>
      <c r="G16" s="4">
        <v>388</v>
      </c>
      <c r="H16" s="4" t="s">
        <v>18</v>
      </c>
      <c r="I16" s="4">
        <v>4</v>
      </c>
      <c r="J16" s="4">
        <v>388</v>
      </c>
      <c r="K16" s="4">
        <v>1552</v>
      </c>
      <c r="L16" s="4">
        <v>290.39999999999998</v>
      </c>
      <c r="M16" s="4"/>
      <c r="N16" s="4"/>
      <c r="O16" s="4">
        <v>1261.5999999999999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2" t="s">
        <v>136</v>
      </c>
      <c r="B17" s="9">
        <v>0.3611111111111111</v>
      </c>
      <c r="C17" s="3" t="s">
        <v>169</v>
      </c>
      <c r="D17" s="6" t="s">
        <v>170</v>
      </c>
      <c r="E17" s="6" t="s">
        <v>52</v>
      </c>
      <c r="F17" s="6" t="s">
        <v>42</v>
      </c>
      <c r="G17" s="4">
        <v>9.35</v>
      </c>
      <c r="H17" s="4" t="s">
        <v>18</v>
      </c>
      <c r="I17" s="4">
        <v>4</v>
      </c>
      <c r="J17" s="4">
        <v>9.35</v>
      </c>
      <c r="K17" s="4">
        <v>37.4</v>
      </c>
      <c r="L17" s="4">
        <v>28.28</v>
      </c>
      <c r="M17" s="4"/>
      <c r="N17" s="4"/>
      <c r="O17" s="4">
        <v>9.1199999999999992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2" t="s">
        <v>136</v>
      </c>
      <c r="B18" s="9">
        <v>0.36180555555555555</v>
      </c>
      <c r="C18" s="3" t="s">
        <v>171</v>
      </c>
      <c r="D18" s="6" t="s">
        <v>172</v>
      </c>
      <c r="E18" s="6" t="s">
        <v>20</v>
      </c>
      <c r="F18" s="6" t="s">
        <v>21</v>
      </c>
      <c r="G18" s="4">
        <v>18</v>
      </c>
      <c r="H18" s="4" t="s">
        <v>18</v>
      </c>
      <c r="I18" s="4">
        <v>20</v>
      </c>
      <c r="J18" s="4">
        <v>18</v>
      </c>
      <c r="K18" s="4">
        <v>360</v>
      </c>
      <c r="L18" s="4">
        <v>56</v>
      </c>
      <c r="M18" s="4"/>
      <c r="N18" s="4"/>
      <c r="O18" s="4">
        <v>304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2" t="s">
        <v>136</v>
      </c>
      <c r="B19" s="9">
        <v>0.36180555555555555</v>
      </c>
      <c r="C19" s="3" t="s">
        <v>171</v>
      </c>
      <c r="D19" s="6" t="s">
        <v>172</v>
      </c>
      <c r="E19" s="6" t="s">
        <v>49</v>
      </c>
      <c r="F19" s="6" t="s">
        <v>41</v>
      </c>
      <c r="G19" s="4">
        <v>0.01</v>
      </c>
      <c r="H19" s="4" t="s">
        <v>18</v>
      </c>
      <c r="I19" s="4">
        <v>2</v>
      </c>
      <c r="J19" s="4">
        <v>0.01</v>
      </c>
      <c r="K19" s="4">
        <v>0.02</v>
      </c>
      <c r="L19" s="4">
        <v>0.02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2" t="s">
        <v>136</v>
      </c>
      <c r="B20" s="9">
        <v>0.37916666666666665</v>
      </c>
      <c r="C20" s="3" t="s">
        <v>173</v>
      </c>
      <c r="D20" s="6" t="s">
        <v>174</v>
      </c>
      <c r="E20" s="6" t="s">
        <v>26</v>
      </c>
      <c r="F20" s="6" t="s">
        <v>27</v>
      </c>
      <c r="G20" s="4">
        <v>35</v>
      </c>
      <c r="H20" s="4" t="s">
        <v>18</v>
      </c>
      <c r="I20" s="4">
        <v>1</v>
      </c>
      <c r="J20" s="4">
        <v>35</v>
      </c>
      <c r="K20" s="4">
        <v>35</v>
      </c>
      <c r="L20" s="4">
        <v>9.5</v>
      </c>
      <c r="M20" s="4"/>
      <c r="N20" s="4"/>
      <c r="O20" s="4">
        <v>25.5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2" t="s">
        <v>136</v>
      </c>
      <c r="B21" s="9">
        <v>0.37986111111111109</v>
      </c>
      <c r="C21" s="3" t="s">
        <v>175</v>
      </c>
      <c r="D21" s="6" t="s">
        <v>176</v>
      </c>
      <c r="E21" s="6" t="s">
        <v>106</v>
      </c>
      <c r="F21" s="6" t="s">
        <v>107</v>
      </c>
      <c r="G21" s="4">
        <v>28</v>
      </c>
      <c r="H21" s="4" t="s">
        <v>18</v>
      </c>
      <c r="I21" s="4">
        <v>1</v>
      </c>
      <c r="J21" s="4">
        <v>28</v>
      </c>
      <c r="K21" s="4">
        <v>28</v>
      </c>
      <c r="L21" s="4">
        <v>12</v>
      </c>
      <c r="M21" s="4"/>
      <c r="N21" s="4"/>
      <c r="O21" s="4">
        <v>16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2" t="s">
        <v>136</v>
      </c>
      <c r="B22" s="9">
        <v>0.38958333333333334</v>
      </c>
      <c r="C22" s="3" t="s">
        <v>177</v>
      </c>
      <c r="D22" s="6" t="s">
        <v>178</v>
      </c>
      <c r="E22" s="6" t="s">
        <v>57</v>
      </c>
      <c r="F22" s="6" t="s">
        <v>46</v>
      </c>
      <c r="G22" s="4">
        <v>32</v>
      </c>
      <c r="H22" s="4" t="s">
        <v>18</v>
      </c>
      <c r="I22" s="4">
        <v>1</v>
      </c>
      <c r="J22" s="4">
        <v>32</v>
      </c>
      <c r="K22" s="4">
        <v>32</v>
      </c>
      <c r="L22" s="4">
        <v>23.25</v>
      </c>
      <c r="M22" s="4"/>
      <c r="N22" s="4"/>
      <c r="O22" s="4">
        <v>8.75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2" t="s">
        <v>136</v>
      </c>
      <c r="B23" s="9">
        <v>0.39861111111111114</v>
      </c>
      <c r="C23" s="3" t="s">
        <v>179</v>
      </c>
      <c r="D23" s="6" t="s">
        <v>180</v>
      </c>
      <c r="E23" s="6" t="s">
        <v>86</v>
      </c>
      <c r="F23" s="6" t="s">
        <v>87</v>
      </c>
      <c r="G23" s="4">
        <v>18</v>
      </c>
      <c r="H23" s="4" t="s">
        <v>18</v>
      </c>
      <c r="I23" s="4">
        <v>10</v>
      </c>
      <c r="J23" s="4">
        <v>18</v>
      </c>
      <c r="K23" s="4">
        <v>180</v>
      </c>
      <c r="L23" s="4">
        <v>16</v>
      </c>
      <c r="M23" s="4"/>
      <c r="N23" s="4"/>
      <c r="O23" s="4">
        <v>164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2" t="s">
        <v>136</v>
      </c>
      <c r="B24" s="9">
        <v>0.40138888888888891</v>
      </c>
      <c r="C24" s="3" t="s">
        <v>181</v>
      </c>
      <c r="D24" s="6" t="s">
        <v>182</v>
      </c>
      <c r="E24" s="6" t="s">
        <v>183</v>
      </c>
      <c r="F24" s="6" t="s">
        <v>184</v>
      </c>
      <c r="G24" s="4">
        <v>628</v>
      </c>
      <c r="H24" s="4" t="s">
        <v>18</v>
      </c>
      <c r="I24" s="4">
        <v>1</v>
      </c>
      <c r="J24" s="4">
        <v>628</v>
      </c>
      <c r="K24" s="4">
        <v>628</v>
      </c>
      <c r="L24" s="4">
        <v>99.63</v>
      </c>
      <c r="M24" s="4"/>
      <c r="N24" s="4"/>
      <c r="O24" s="4">
        <v>528.37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2" t="s">
        <v>185</v>
      </c>
      <c r="B25" s="9">
        <v>4.1666666666666666E-3</v>
      </c>
      <c r="C25" s="3" t="s">
        <v>186</v>
      </c>
      <c r="D25" s="6" t="s">
        <v>187</v>
      </c>
      <c r="E25" s="6" t="s">
        <v>64</v>
      </c>
      <c r="F25" s="6" t="s">
        <v>65</v>
      </c>
      <c r="G25" s="4">
        <v>49</v>
      </c>
      <c r="H25" s="4" t="s">
        <v>18</v>
      </c>
      <c r="I25" s="4">
        <v>45</v>
      </c>
      <c r="J25" s="4">
        <v>49</v>
      </c>
      <c r="K25" s="4">
        <v>2205</v>
      </c>
      <c r="L25" s="4">
        <v>1368.9</v>
      </c>
      <c r="M25" s="4">
        <v>20</v>
      </c>
      <c r="N25" s="4">
        <v>441</v>
      </c>
      <c r="O25" s="4">
        <v>395.1</v>
      </c>
      <c r="P25" s="4" t="s">
        <v>19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2" t="s">
        <v>185</v>
      </c>
      <c r="B26" s="9">
        <v>4.1666666666666666E-3</v>
      </c>
      <c r="C26" s="3" t="s">
        <v>188</v>
      </c>
      <c r="D26" s="6" t="s">
        <v>189</v>
      </c>
      <c r="E26" s="6" t="s">
        <v>68</v>
      </c>
      <c r="F26" s="6" t="s">
        <v>69</v>
      </c>
      <c r="G26" s="4">
        <v>17.079999999999998</v>
      </c>
      <c r="H26" s="4" t="s">
        <v>18</v>
      </c>
      <c r="I26" s="4">
        <v>10</v>
      </c>
      <c r="J26" s="4">
        <v>17.079999999999998</v>
      </c>
      <c r="K26" s="4">
        <v>170.8</v>
      </c>
      <c r="L26" s="4">
        <v>133.19999999999999</v>
      </c>
      <c r="M26" s="4">
        <v>20</v>
      </c>
      <c r="N26" s="4">
        <v>34.159999999999997</v>
      </c>
      <c r="O26" s="4">
        <v>3.44</v>
      </c>
      <c r="P26" s="4" t="s">
        <v>19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2" t="s">
        <v>185</v>
      </c>
      <c r="B27" s="9">
        <v>4.1666666666666666E-3</v>
      </c>
      <c r="C27" s="3" t="s">
        <v>188</v>
      </c>
      <c r="D27" s="6" t="s">
        <v>189</v>
      </c>
      <c r="E27" s="6" t="s">
        <v>70</v>
      </c>
      <c r="F27" s="6" t="s">
        <v>71</v>
      </c>
      <c r="G27" s="4">
        <v>25</v>
      </c>
      <c r="H27" s="4" t="s">
        <v>18</v>
      </c>
      <c r="I27" s="4">
        <v>10</v>
      </c>
      <c r="J27" s="4">
        <v>25</v>
      </c>
      <c r="K27" s="4">
        <v>250</v>
      </c>
      <c r="L27" s="4">
        <v>167.7</v>
      </c>
      <c r="M27" s="4">
        <v>20</v>
      </c>
      <c r="N27" s="4">
        <v>50</v>
      </c>
      <c r="O27" s="4">
        <v>32.299999999999997</v>
      </c>
      <c r="P27" s="4" t="s">
        <v>19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2" t="s">
        <v>185</v>
      </c>
      <c r="B28" s="9">
        <v>5.5555555555555558E-3</v>
      </c>
      <c r="C28" s="3" t="s">
        <v>190</v>
      </c>
      <c r="D28" s="6" t="s">
        <v>191</v>
      </c>
      <c r="E28" s="6" t="s">
        <v>120</v>
      </c>
      <c r="F28" s="6" t="s">
        <v>121</v>
      </c>
      <c r="G28" s="4">
        <v>17</v>
      </c>
      <c r="H28" s="4" t="s">
        <v>18</v>
      </c>
      <c r="I28" s="4">
        <v>100</v>
      </c>
      <c r="J28" s="4">
        <v>17</v>
      </c>
      <c r="K28" s="4">
        <v>1700</v>
      </c>
      <c r="L28" s="4">
        <v>335</v>
      </c>
      <c r="M28" s="4"/>
      <c r="N28" s="4"/>
      <c r="O28" s="4">
        <v>1365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2" t="s">
        <v>185</v>
      </c>
      <c r="B29" s="9">
        <v>5.5555555555555558E-3</v>
      </c>
      <c r="C29" s="3" t="s">
        <v>190</v>
      </c>
      <c r="D29" s="6" t="s">
        <v>191</v>
      </c>
      <c r="E29" s="6" t="s">
        <v>122</v>
      </c>
      <c r="F29" s="6" t="s">
        <v>123</v>
      </c>
      <c r="G29" s="4">
        <v>12</v>
      </c>
      <c r="H29" s="4" t="s">
        <v>18</v>
      </c>
      <c r="I29" s="4">
        <v>48</v>
      </c>
      <c r="J29" s="4">
        <v>12</v>
      </c>
      <c r="K29" s="4">
        <v>576</v>
      </c>
      <c r="L29" s="4">
        <v>177.12</v>
      </c>
      <c r="M29" s="4"/>
      <c r="N29" s="4"/>
      <c r="O29" s="4">
        <v>398.88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2" t="s">
        <v>185</v>
      </c>
      <c r="B30" s="9">
        <v>5.5555555555555558E-3</v>
      </c>
      <c r="C30" s="3" t="s">
        <v>190</v>
      </c>
      <c r="D30" s="6" t="s">
        <v>191</v>
      </c>
      <c r="E30" s="6" t="s">
        <v>192</v>
      </c>
      <c r="F30" s="6" t="s">
        <v>193</v>
      </c>
      <c r="G30" s="4">
        <v>14</v>
      </c>
      <c r="H30" s="4" t="s">
        <v>18</v>
      </c>
      <c r="I30" s="4">
        <v>60</v>
      </c>
      <c r="J30" s="4">
        <v>14</v>
      </c>
      <c r="K30" s="4">
        <v>840</v>
      </c>
      <c r="L30" s="4">
        <v>138.6</v>
      </c>
      <c r="M30" s="4"/>
      <c r="N30" s="4"/>
      <c r="O30" s="4">
        <v>701.4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2" t="s">
        <v>185</v>
      </c>
      <c r="B31" s="9">
        <v>5.5555555555555558E-3</v>
      </c>
      <c r="C31" s="3" t="s">
        <v>190</v>
      </c>
      <c r="D31" s="6" t="s">
        <v>191</v>
      </c>
      <c r="E31" s="6" t="s">
        <v>128</v>
      </c>
      <c r="F31" s="6" t="s">
        <v>129</v>
      </c>
      <c r="G31" s="4">
        <v>3</v>
      </c>
      <c r="H31" s="4" t="s">
        <v>18</v>
      </c>
      <c r="I31" s="4">
        <v>30</v>
      </c>
      <c r="J31" s="4">
        <v>3</v>
      </c>
      <c r="K31" s="4">
        <v>90</v>
      </c>
      <c r="L31" s="4">
        <v>24.9</v>
      </c>
      <c r="M31" s="4"/>
      <c r="N31" s="4"/>
      <c r="O31" s="4">
        <v>65.099999999999994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2" t="s">
        <v>185</v>
      </c>
      <c r="B32" s="9">
        <v>5.5555555555555558E-3</v>
      </c>
      <c r="C32" s="3" t="s">
        <v>190</v>
      </c>
      <c r="D32" s="6" t="s">
        <v>191</v>
      </c>
      <c r="E32" s="6" t="s">
        <v>122</v>
      </c>
      <c r="F32" s="6" t="s">
        <v>123</v>
      </c>
      <c r="G32" s="4">
        <v>12</v>
      </c>
      <c r="H32" s="4" t="s">
        <v>18</v>
      </c>
      <c r="I32" s="4">
        <v>52</v>
      </c>
      <c r="J32" s="4">
        <v>12</v>
      </c>
      <c r="K32" s="4">
        <v>624</v>
      </c>
      <c r="L32" s="4">
        <v>191.88</v>
      </c>
      <c r="M32" s="4"/>
      <c r="N32" s="4"/>
      <c r="O32" s="4">
        <v>432.12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2" t="s">
        <v>185</v>
      </c>
      <c r="B33" s="9">
        <v>5.5555555555555558E-3</v>
      </c>
      <c r="C33" s="3" t="s">
        <v>190</v>
      </c>
      <c r="D33" s="6" t="s">
        <v>191</v>
      </c>
      <c r="E33" s="6" t="s">
        <v>194</v>
      </c>
      <c r="F33" s="6" t="s">
        <v>195</v>
      </c>
      <c r="G33" s="4">
        <v>4</v>
      </c>
      <c r="H33" s="4" t="s">
        <v>18</v>
      </c>
      <c r="I33" s="4">
        <v>42</v>
      </c>
      <c r="J33" s="4">
        <v>4</v>
      </c>
      <c r="K33" s="4">
        <v>168</v>
      </c>
      <c r="L33" s="4">
        <v>42</v>
      </c>
      <c r="M33" s="4"/>
      <c r="N33" s="4"/>
      <c r="O33" s="4">
        <v>126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2" t="s">
        <v>185</v>
      </c>
      <c r="B34" s="9">
        <v>5.5555555555555558E-3</v>
      </c>
      <c r="C34" s="3" t="s">
        <v>196</v>
      </c>
      <c r="D34" s="6" t="s">
        <v>197</v>
      </c>
      <c r="E34" s="6" t="s">
        <v>56</v>
      </c>
      <c r="F34" s="6" t="s">
        <v>37</v>
      </c>
      <c r="G34" s="4">
        <v>55</v>
      </c>
      <c r="H34" s="4" t="s">
        <v>18</v>
      </c>
      <c r="I34" s="4">
        <v>1</v>
      </c>
      <c r="J34" s="4">
        <v>55</v>
      </c>
      <c r="K34" s="4">
        <v>55</v>
      </c>
      <c r="L34" s="4">
        <v>40.75</v>
      </c>
      <c r="M34" s="4"/>
      <c r="N34" s="4"/>
      <c r="O34" s="4">
        <v>14.25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2" t="s">
        <v>185</v>
      </c>
      <c r="B35" s="9">
        <v>6.2500000000000003E-3</v>
      </c>
      <c r="C35" s="3" t="s">
        <v>198</v>
      </c>
      <c r="D35" s="6" t="s">
        <v>199</v>
      </c>
      <c r="E35" s="6" t="s">
        <v>100</v>
      </c>
      <c r="F35" s="6" t="s">
        <v>101</v>
      </c>
      <c r="G35" s="4">
        <v>21.78</v>
      </c>
      <c r="H35" s="4" t="s">
        <v>18</v>
      </c>
      <c r="I35" s="4">
        <v>30</v>
      </c>
      <c r="J35" s="4">
        <v>21.78</v>
      </c>
      <c r="K35" s="4">
        <v>653.4</v>
      </c>
      <c r="L35" s="4">
        <v>503.1</v>
      </c>
      <c r="M35" s="4"/>
      <c r="N35" s="4"/>
      <c r="O35" s="4">
        <v>150.30000000000001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2" t="s">
        <v>185</v>
      </c>
      <c r="B36" s="9">
        <v>6.2500000000000003E-3</v>
      </c>
      <c r="C36" s="3" t="s">
        <v>198</v>
      </c>
      <c r="D36" s="6" t="s">
        <v>199</v>
      </c>
      <c r="E36" s="6" t="s">
        <v>124</v>
      </c>
      <c r="F36" s="6" t="s">
        <v>125</v>
      </c>
      <c r="G36" s="4">
        <v>8</v>
      </c>
      <c r="H36" s="4" t="s">
        <v>18</v>
      </c>
      <c r="I36" s="4">
        <v>30</v>
      </c>
      <c r="J36" s="4">
        <v>8</v>
      </c>
      <c r="K36" s="4">
        <v>240</v>
      </c>
      <c r="L36" s="4">
        <v>22.5</v>
      </c>
      <c r="M36" s="4"/>
      <c r="N36" s="4"/>
      <c r="O36" s="4">
        <v>217.5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2" t="s">
        <v>185</v>
      </c>
      <c r="B37" s="9">
        <v>6.2500000000000003E-3</v>
      </c>
      <c r="C37" s="3" t="s">
        <v>198</v>
      </c>
      <c r="D37" s="6" t="s">
        <v>199</v>
      </c>
      <c r="E37" s="6" t="s">
        <v>72</v>
      </c>
      <c r="F37" s="6" t="s">
        <v>73</v>
      </c>
      <c r="G37" s="4">
        <v>23</v>
      </c>
      <c r="H37" s="4" t="s">
        <v>18</v>
      </c>
      <c r="I37" s="4">
        <v>30</v>
      </c>
      <c r="J37" s="4">
        <v>23</v>
      </c>
      <c r="K37" s="4">
        <v>690</v>
      </c>
      <c r="L37" s="4">
        <v>52.8</v>
      </c>
      <c r="M37" s="4"/>
      <c r="N37" s="4"/>
      <c r="O37" s="4">
        <v>637.20000000000005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2" t="s">
        <v>185</v>
      </c>
      <c r="B38" s="9">
        <v>0.41666666666666669</v>
      </c>
      <c r="C38" s="3" t="s">
        <v>200</v>
      </c>
      <c r="D38" s="6" t="s">
        <v>201</v>
      </c>
      <c r="E38" s="6" t="s">
        <v>61</v>
      </c>
      <c r="F38" s="6" t="s">
        <v>62</v>
      </c>
      <c r="G38" s="4">
        <v>32</v>
      </c>
      <c r="H38" s="4" t="s">
        <v>18</v>
      </c>
      <c r="I38" s="4">
        <v>19</v>
      </c>
      <c r="J38" s="4">
        <v>68</v>
      </c>
      <c r="K38" s="4">
        <v>1292</v>
      </c>
      <c r="L38" s="4">
        <v>437</v>
      </c>
      <c r="M38" s="4"/>
      <c r="N38" s="4"/>
      <c r="O38" s="4">
        <v>855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2" t="s">
        <v>185</v>
      </c>
      <c r="B39" s="9">
        <v>0.42986111111111114</v>
      </c>
      <c r="C39" s="3" t="s">
        <v>202</v>
      </c>
      <c r="D39" s="6" t="s">
        <v>203</v>
      </c>
      <c r="E39" s="6" t="s">
        <v>98</v>
      </c>
      <c r="F39" s="6" t="s">
        <v>99</v>
      </c>
      <c r="G39" s="4">
        <v>37.5</v>
      </c>
      <c r="H39" s="4" t="s">
        <v>18</v>
      </c>
      <c r="I39" s="4">
        <v>30</v>
      </c>
      <c r="J39" s="4">
        <v>37.5</v>
      </c>
      <c r="K39" s="4">
        <v>1125</v>
      </c>
      <c r="L39" s="4">
        <v>810</v>
      </c>
      <c r="M39" s="4">
        <v>20</v>
      </c>
      <c r="N39" s="4">
        <v>225</v>
      </c>
      <c r="O39" s="4">
        <v>90</v>
      </c>
      <c r="P39" s="4" t="s">
        <v>19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2" t="s">
        <v>185</v>
      </c>
      <c r="B40" s="9">
        <v>0.43055555555555558</v>
      </c>
      <c r="C40" s="3" t="s">
        <v>202</v>
      </c>
      <c r="D40" s="6" t="s">
        <v>203</v>
      </c>
      <c r="E40" s="6" t="s">
        <v>110</v>
      </c>
      <c r="F40" s="6" t="s">
        <v>111</v>
      </c>
      <c r="G40" s="4">
        <v>37.5</v>
      </c>
      <c r="H40" s="4" t="s">
        <v>18</v>
      </c>
      <c r="I40" s="4">
        <v>30</v>
      </c>
      <c r="J40" s="4">
        <v>37.5</v>
      </c>
      <c r="K40" s="4">
        <v>1125</v>
      </c>
      <c r="L40" s="4">
        <v>810</v>
      </c>
      <c r="M40" s="4">
        <v>20</v>
      </c>
      <c r="N40" s="4">
        <v>225</v>
      </c>
      <c r="O40" s="4">
        <v>90</v>
      </c>
      <c r="P40" s="4" t="s">
        <v>19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2" t="s">
        <v>185</v>
      </c>
      <c r="B41" s="9">
        <v>0.44583333333333336</v>
      </c>
      <c r="C41" s="3" t="s">
        <v>204</v>
      </c>
      <c r="D41" s="6" t="s">
        <v>205</v>
      </c>
      <c r="E41" s="6" t="s">
        <v>206</v>
      </c>
      <c r="F41" s="6" t="s">
        <v>207</v>
      </c>
      <c r="G41" s="4">
        <v>197</v>
      </c>
      <c r="H41" s="4" t="s">
        <v>18</v>
      </c>
      <c r="I41" s="4">
        <v>1</v>
      </c>
      <c r="J41" s="4">
        <v>197</v>
      </c>
      <c r="K41" s="4">
        <v>197</v>
      </c>
      <c r="L41" s="4">
        <v>65</v>
      </c>
      <c r="M41" s="4">
        <v>20</v>
      </c>
      <c r="N41" s="4">
        <v>39.4</v>
      </c>
      <c r="O41" s="4">
        <v>92.6</v>
      </c>
      <c r="P41" s="4" t="s">
        <v>19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2" t="s">
        <v>185</v>
      </c>
      <c r="B42" s="9">
        <v>0.44583333333333336</v>
      </c>
      <c r="C42" s="3" t="s">
        <v>204</v>
      </c>
      <c r="D42" s="6" t="s">
        <v>205</v>
      </c>
      <c r="E42" s="6" t="s">
        <v>64</v>
      </c>
      <c r="F42" s="6" t="s">
        <v>65</v>
      </c>
      <c r="G42" s="4">
        <v>49</v>
      </c>
      <c r="H42" s="4" t="s">
        <v>18</v>
      </c>
      <c r="I42" s="4">
        <v>20</v>
      </c>
      <c r="J42" s="4">
        <v>49</v>
      </c>
      <c r="K42" s="4">
        <v>980</v>
      </c>
      <c r="L42" s="4">
        <v>608.4</v>
      </c>
      <c r="M42" s="4">
        <v>20</v>
      </c>
      <c r="N42" s="4">
        <v>196</v>
      </c>
      <c r="O42" s="4">
        <v>175.6</v>
      </c>
      <c r="P42" s="4" t="s">
        <v>19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2" t="s">
        <v>185</v>
      </c>
      <c r="B43" s="9">
        <v>0.44583333333333336</v>
      </c>
      <c r="C43" s="3" t="s">
        <v>204</v>
      </c>
      <c r="D43" s="6" t="s">
        <v>205</v>
      </c>
      <c r="E43" s="6" t="s">
        <v>206</v>
      </c>
      <c r="F43" s="6" t="s">
        <v>207</v>
      </c>
      <c r="G43" s="4">
        <v>197</v>
      </c>
      <c r="H43" s="4" t="s">
        <v>18</v>
      </c>
      <c r="I43" s="4">
        <v>1</v>
      </c>
      <c r="J43" s="4">
        <v>197</v>
      </c>
      <c r="K43" s="4">
        <v>197</v>
      </c>
      <c r="L43" s="4">
        <v>65</v>
      </c>
      <c r="M43" s="4">
        <v>20</v>
      </c>
      <c r="N43" s="4">
        <v>39.4</v>
      </c>
      <c r="O43" s="4">
        <v>92.6</v>
      </c>
      <c r="P43" s="4" t="s">
        <v>19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2" t="s">
        <v>185</v>
      </c>
      <c r="B44" s="9">
        <v>0.45069444444444445</v>
      </c>
      <c r="C44" s="3" t="s">
        <v>208</v>
      </c>
      <c r="D44" s="6" t="s">
        <v>209</v>
      </c>
      <c r="E44" s="6" t="s">
        <v>28</v>
      </c>
      <c r="F44" s="6" t="s">
        <v>29</v>
      </c>
      <c r="G44" s="4">
        <v>15</v>
      </c>
      <c r="H44" s="4" t="s">
        <v>32</v>
      </c>
      <c r="I44" s="4">
        <v>20</v>
      </c>
      <c r="J44" s="4">
        <v>12</v>
      </c>
      <c r="K44" s="4">
        <v>240</v>
      </c>
      <c r="L44" s="4">
        <v>35.6</v>
      </c>
      <c r="M44" s="4"/>
      <c r="N44" s="4"/>
      <c r="O44" s="4">
        <v>204.4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2" t="s">
        <v>185</v>
      </c>
      <c r="B45" s="9">
        <v>0.46041666666666664</v>
      </c>
      <c r="C45" s="3" t="s">
        <v>210</v>
      </c>
      <c r="D45" s="6" t="s">
        <v>211</v>
      </c>
      <c r="E45" s="6" t="s">
        <v>134</v>
      </c>
      <c r="F45" s="6" t="s">
        <v>135</v>
      </c>
      <c r="G45" s="4">
        <v>34.549999999999997</v>
      </c>
      <c r="H45" s="4" t="s">
        <v>18</v>
      </c>
      <c r="I45" s="4">
        <v>3</v>
      </c>
      <c r="J45" s="4">
        <v>34.549999999999997</v>
      </c>
      <c r="K45" s="4">
        <v>103.65</v>
      </c>
      <c r="L45" s="4">
        <v>81.75</v>
      </c>
      <c r="M45" s="4"/>
      <c r="N45" s="4"/>
      <c r="O45" s="4">
        <v>21.9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2" t="s">
        <v>185</v>
      </c>
      <c r="B46" s="9">
        <v>0.46111111111111114</v>
      </c>
      <c r="C46" s="3" t="s">
        <v>212</v>
      </c>
      <c r="D46" s="6" t="s">
        <v>213</v>
      </c>
      <c r="E46" s="6" t="s">
        <v>214</v>
      </c>
      <c r="F46" s="6" t="s">
        <v>215</v>
      </c>
      <c r="G46" s="4">
        <v>68</v>
      </c>
      <c r="H46" s="4" t="s">
        <v>18</v>
      </c>
      <c r="I46" s="4">
        <v>3</v>
      </c>
      <c r="J46" s="4">
        <v>68</v>
      </c>
      <c r="K46" s="4">
        <v>204</v>
      </c>
      <c r="L46" s="4">
        <v>24</v>
      </c>
      <c r="M46" s="4"/>
      <c r="N46" s="4"/>
      <c r="O46" s="4">
        <v>180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2" t="s">
        <v>185</v>
      </c>
      <c r="B47" s="9">
        <v>0.46111111111111114</v>
      </c>
      <c r="C47" s="3" t="s">
        <v>212</v>
      </c>
      <c r="D47" s="6" t="s">
        <v>213</v>
      </c>
      <c r="E47" s="6" t="s">
        <v>216</v>
      </c>
      <c r="F47" s="6" t="s">
        <v>217</v>
      </c>
      <c r="G47" s="4">
        <v>378</v>
      </c>
      <c r="H47" s="4" t="s">
        <v>18</v>
      </c>
      <c r="I47" s="4">
        <v>1</v>
      </c>
      <c r="J47" s="4">
        <v>378</v>
      </c>
      <c r="K47" s="4">
        <v>378</v>
      </c>
      <c r="L47" s="4">
        <v>78</v>
      </c>
      <c r="M47" s="4"/>
      <c r="N47" s="4"/>
      <c r="O47" s="4">
        <v>300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2" t="s">
        <v>185</v>
      </c>
      <c r="B48" s="9">
        <v>0.47152777777777777</v>
      </c>
      <c r="C48" s="3" t="s">
        <v>218</v>
      </c>
      <c r="D48" s="6" t="s">
        <v>219</v>
      </c>
      <c r="E48" s="6" t="s">
        <v>220</v>
      </c>
      <c r="F48" s="6" t="s">
        <v>221</v>
      </c>
      <c r="G48" s="4">
        <v>10</v>
      </c>
      <c r="H48" s="4" t="s">
        <v>18</v>
      </c>
      <c r="I48" s="4">
        <v>2</v>
      </c>
      <c r="J48" s="4">
        <v>10</v>
      </c>
      <c r="K48" s="4">
        <v>20</v>
      </c>
      <c r="L48" s="4">
        <v>16</v>
      </c>
      <c r="M48" s="4"/>
      <c r="N48" s="4"/>
      <c r="O48" s="4">
        <v>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2" t="s">
        <v>185</v>
      </c>
      <c r="B49" s="9">
        <v>0.47291666666666665</v>
      </c>
      <c r="C49" s="3" t="s">
        <v>222</v>
      </c>
      <c r="D49" s="6" t="s">
        <v>223</v>
      </c>
      <c r="E49" s="6" t="s">
        <v>224</v>
      </c>
      <c r="F49" s="6" t="s">
        <v>225</v>
      </c>
      <c r="G49" s="4">
        <v>248</v>
      </c>
      <c r="H49" s="4" t="s">
        <v>23</v>
      </c>
      <c r="I49" s="4">
        <v>1</v>
      </c>
      <c r="J49" s="4">
        <v>240</v>
      </c>
      <c r="K49" s="4">
        <v>240</v>
      </c>
      <c r="L49" s="4">
        <v>235.29</v>
      </c>
      <c r="M49" s="4"/>
      <c r="N49" s="4"/>
      <c r="O49" s="4">
        <v>4.71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2" t="s">
        <v>185</v>
      </c>
      <c r="B50" s="9">
        <v>0.49375000000000002</v>
      </c>
      <c r="C50" s="3" t="s">
        <v>226</v>
      </c>
      <c r="D50" s="6" t="s">
        <v>227</v>
      </c>
      <c r="E50" s="6" t="s">
        <v>228</v>
      </c>
      <c r="F50" s="6" t="s">
        <v>229</v>
      </c>
      <c r="G50" s="4">
        <v>18</v>
      </c>
      <c r="H50" s="4" t="s">
        <v>18</v>
      </c>
      <c r="I50" s="4">
        <v>70</v>
      </c>
      <c r="J50" s="4">
        <v>18</v>
      </c>
      <c r="K50" s="4">
        <v>1260</v>
      </c>
      <c r="L50" s="4">
        <v>83.3</v>
      </c>
      <c r="M50" s="4"/>
      <c r="N50" s="4"/>
      <c r="O50" s="4">
        <v>1176.7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2" t="s">
        <v>185</v>
      </c>
      <c r="B51" s="9">
        <v>0.49375000000000002</v>
      </c>
      <c r="C51" s="3" t="s">
        <v>226</v>
      </c>
      <c r="D51" s="6" t="s">
        <v>227</v>
      </c>
      <c r="E51" s="6" t="s">
        <v>96</v>
      </c>
      <c r="F51" s="6" t="s">
        <v>97</v>
      </c>
      <c r="G51" s="4">
        <v>35</v>
      </c>
      <c r="H51" s="4" t="s">
        <v>18</v>
      </c>
      <c r="I51" s="4">
        <v>30</v>
      </c>
      <c r="J51" s="4">
        <v>35</v>
      </c>
      <c r="K51" s="4">
        <v>1050</v>
      </c>
      <c r="L51" s="4">
        <v>297</v>
      </c>
      <c r="M51" s="4"/>
      <c r="N51" s="4"/>
      <c r="O51" s="4">
        <v>753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2" t="s">
        <v>185</v>
      </c>
      <c r="B52" s="9">
        <v>0.49444444444444446</v>
      </c>
      <c r="C52" s="3" t="s">
        <v>226</v>
      </c>
      <c r="D52" s="6" t="s">
        <v>227</v>
      </c>
      <c r="E52" s="6" t="s">
        <v>70</v>
      </c>
      <c r="F52" s="6" t="s">
        <v>71</v>
      </c>
      <c r="G52" s="4">
        <v>25</v>
      </c>
      <c r="H52" s="4" t="s">
        <v>18</v>
      </c>
      <c r="I52" s="4">
        <v>70</v>
      </c>
      <c r="J52" s="4">
        <v>25</v>
      </c>
      <c r="K52" s="4">
        <v>1750</v>
      </c>
      <c r="L52" s="4">
        <v>1173.9000000000001</v>
      </c>
      <c r="M52" s="4"/>
      <c r="N52" s="4"/>
      <c r="O52" s="4">
        <v>576.1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2" t="s">
        <v>185</v>
      </c>
      <c r="B53" s="9">
        <v>0.49444444444444446</v>
      </c>
      <c r="C53" s="3" t="s">
        <v>226</v>
      </c>
      <c r="D53" s="6" t="s">
        <v>227</v>
      </c>
      <c r="E53" s="6" t="s">
        <v>230</v>
      </c>
      <c r="F53" s="6" t="s">
        <v>231</v>
      </c>
      <c r="G53" s="4">
        <v>34</v>
      </c>
      <c r="H53" s="4" t="s">
        <v>18</v>
      </c>
      <c r="I53" s="4">
        <v>30</v>
      </c>
      <c r="J53" s="4">
        <v>34</v>
      </c>
      <c r="K53" s="4">
        <v>1020</v>
      </c>
      <c r="L53" s="4">
        <v>324.89999999999998</v>
      </c>
      <c r="M53" s="4"/>
      <c r="N53" s="4"/>
      <c r="O53" s="4">
        <v>695.1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2" t="s">
        <v>185</v>
      </c>
      <c r="B54" s="9">
        <v>0.50277777777777777</v>
      </c>
      <c r="C54" s="3" t="s">
        <v>226</v>
      </c>
      <c r="D54" s="6" t="s">
        <v>227</v>
      </c>
      <c r="E54" s="6" t="s">
        <v>96</v>
      </c>
      <c r="F54" s="6" t="s">
        <v>97</v>
      </c>
      <c r="G54" s="4">
        <v>35</v>
      </c>
      <c r="H54" s="4" t="s">
        <v>18</v>
      </c>
      <c r="I54" s="4">
        <v>20</v>
      </c>
      <c r="J54" s="4">
        <v>35</v>
      </c>
      <c r="K54" s="4">
        <v>700</v>
      </c>
      <c r="L54" s="4">
        <v>198</v>
      </c>
      <c r="M54" s="4"/>
      <c r="N54" s="4"/>
      <c r="O54" s="4">
        <v>502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2" t="s">
        <v>185</v>
      </c>
      <c r="B55" s="9">
        <v>0.50347222222222221</v>
      </c>
      <c r="C55" s="3" t="s">
        <v>226</v>
      </c>
      <c r="D55" s="6" t="s">
        <v>227</v>
      </c>
      <c r="E55" s="6" t="s">
        <v>112</v>
      </c>
      <c r="F55" s="6" t="s">
        <v>113</v>
      </c>
      <c r="G55" s="4">
        <v>30</v>
      </c>
      <c r="H55" s="4" t="s">
        <v>18</v>
      </c>
      <c r="I55" s="4">
        <v>60</v>
      </c>
      <c r="J55" s="4">
        <v>30</v>
      </c>
      <c r="K55" s="4">
        <v>1800</v>
      </c>
      <c r="L55" s="4">
        <v>270</v>
      </c>
      <c r="M55" s="4"/>
      <c r="N55" s="4"/>
      <c r="O55" s="4">
        <v>1530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2" t="s">
        <v>185</v>
      </c>
      <c r="B56" s="9">
        <v>0.50347222222222221</v>
      </c>
      <c r="C56" s="3" t="s">
        <v>226</v>
      </c>
      <c r="D56" s="6" t="s">
        <v>227</v>
      </c>
      <c r="E56" s="6" t="s">
        <v>232</v>
      </c>
      <c r="F56" s="6" t="s">
        <v>233</v>
      </c>
      <c r="G56" s="4">
        <v>40.450000000000003</v>
      </c>
      <c r="H56" s="4" t="s">
        <v>18</v>
      </c>
      <c r="I56" s="4">
        <v>50</v>
      </c>
      <c r="J56" s="4">
        <v>40.450000000000003</v>
      </c>
      <c r="K56" s="4">
        <v>2022.5</v>
      </c>
      <c r="L56" s="4">
        <v>1305.5</v>
      </c>
      <c r="M56" s="4"/>
      <c r="N56" s="4"/>
      <c r="O56" s="4">
        <v>717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2" t="s">
        <v>185</v>
      </c>
      <c r="B57" s="9">
        <v>0.50624999999999998</v>
      </c>
      <c r="C57" s="3" t="s">
        <v>226</v>
      </c>
      <c r="D57" s="6" t="s">
        <v>227</v>
      </c>
      <c r="E57" s="6" t="s">
        <v>112</v>
      </c>
      <c r="F57" s="6" t="s">
        <v>113</v>
      </c>
      <c r="G57" s="4">
        <v>30</v>
      </c>
      <c r="H57" s="4" t="s">
        <v>18</v>
      </c>
      <c r="I57" s="4">
        <v>10</v>
      </c>
      <c r="J57" s="4">
        <v>30</v>
      </c>
      <c r="K57" s="4">
        <v>300</v>
      </c>
      <c r="L57" s="4">
        <v>45</v>
      </c>
      <c r="M57" s="4"/>
      <c r="N57" s="4"/>
      <c r="O57" s="4">
        <v>255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2" t="s">
        <v>185</v>
      </c>
      <c r="B58" s="9">
        <v>0.50694444444444442</v>
      </c>
      <c r="C58" s="3" t="s">
        <v>226</v>
      </c>
      <c r="D58" s="6" t="s">
        <v>227</v>
      </c>
      <c r="E58" s="6" t="s">
        <v>96</v>
      </c>
      <c r="F58" s="6" t="s">
        <v>97</v>
      </c>
      <c r="G58" s="4">
        <v>35</v>
      </c>
      <c r="H58" s="4" t="s">
        <v>18</v>
      </c>
      <c r="I58" s="4">
        <v>2</v>
      </c>
      <c r="J58" s="4">
        <v>35</v>
      </c>
      <c r="K58" s="4">
        <v>70</v>
      </c>
      <c r="L58" s="4">
        <v>19.8</v>
      </c>
      <c r="M58" s="4"/>
      <c r="N58" s="4"/>
      <c r="O58" s="4">
        <v>50.2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2" t="s">
        <v>185</v>
      </c>
      <c r="B59" s="9">
        <v>0.51666666666666672</v>
      </c>
      <c r="C59" s="3" t="s">
        <v>234</v>
      </c>
      <c r="D59" s="6" t="s">
        <v>235</v>
      </c>
      <c r="E59" s="6" t="s">
        <v>214</v>
      </c>
      <c r="F59" s="6" t="s">
        <v>215</v>
      </c>
      <c r="G59" s="4">
        <v>68</v>
      </c>
      <c r="H59" s="4" t="s">
        <v>18</v>
      </c>
      <c r="I59" s="4">
        <v>-1</v>
      </c>
      <c r="J59" s="4">
        <v>68</v>
      </c>
      <c r="K59" s="4">
        <v>-68</v>
      </c>
      <c r="L59" s="4">
        <v>-8</v>
      </c>
      <c r="M59" s="4"/>
      <c r="N59" s="4"/>
      <c r="O59" s="4">
        <v>-60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2" t="s">
        <v>185</v>
      </c>
      <c r="B60" s="9">
        <v>0.51666666666666672</v>
      </c>
      <c r="C60" s="3" t="s">
        <v>234</v>
      </c>
      <c r="D60" s="6" t="s">
        <v>235</v>
      </c>
      <c r="E60" s="6" t="s">
        <v>216</v>
      </c>
      <c r="F60" s="6" t="s">
        <v>217</v>
      </c>
      <c r="G60" s="4">
        <v>378</v>
      </c>
      <c r="H60" s="4" t="s">
        <v>18</v>
      </c>
      <c r="I60" s="4">
        <v>-1</v>
      </c>
      <c r="J60" s="4">
        <v>378</v>
      </c>
      <c r="K60" s="4">
        <v>-378</v>
      </c>
      <c r="L60" s="4">
        <v>-78</v>
      </c>
      <c r="M60" s="4"/>
      <c r="N60" s="4"/>
      <c r="O60" s="4">
        <v>-300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2" t="s">
        <v>185</v>
      </c>
      <c r="B61" s="9">
        <v>0.5180555555555556</v>
      </c>
      <c r="C61" s="3" t="s">
        <v>234</v>
      </c>
      <c r="D61" s="6" t="s">
        <v>235</v>
      </c>
      <c r="E61" s="6" t="s">
        <v>54</v>
      </c>
      <c r="F61" s="6" t="s">
        <v>43</v>
      </c>
      <c r="G61" s="4">
        <v>220</v>
      </c>
      <c r="H61" s="4" t="s">
        <v>18</v>
      </c>
      <c r="I61" s="4">
        <v>1</v>
      </c>
      <c r="J61" s="4">
        <v>220</v>
      </c>
      <c r="K61" s="4">
        <v>220</v>
      </c>
      <c r="L61" s="4">
        <v>62.92</v>
      </c>
      <c r="M61" s="4"/>
      <c r="N61" s="4"/>
      <c r="O61" s="4">
        <v>157.08000000000001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2" t="s">
        <v>185</v>
      </c>
      <c r="B62" s="9">
        <v>0.5180555555555556</v>
      </c>
      <c r="C62" s="3" t="s">
        <v>234</v>
      </c>
      <c r="D62" s="6" t="s">
        <v>235</v>
      </c>
      <c r="E62" s="6" t="s">
        <v>130</v>
      </c>
      <c r="F62" s="6" t="s">
        <v>131</v>
      </c>
      <c r="G62" s="4">
        <v>64</v>
      </c>
      <c r="H62" s="4" t="s">
        <v>18</v>
      </c>
      <c r="I62" s="4">
        <v>2</v>
      </c>
      <c r="J62" s="4">
        <v>64</v>
      </c>
      <c r="K62" s="4">
        <v>128</v>
      </c>
      <c r="L62" s="4">
        <v>62.72</v>
      </c>
      <c r="M62" s="4"/>
      <c r="N62" s="4"/>
      <c r="O62" s="4">
        <v>65.28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2" t="s">
        <v>185</v>
      </c>
      <c r="B63" s="9">
        <v>0.5180555555555556</v>
      </c>
      <c r="C63" s="3" t="s">
        <v>234</v>
      </c>
      <c r="D63" s="6" t="s">
        <v>235</v>
      </c>
      <c r="E63" s="6" t="s">
        <v>48</v>
      </c>
      <c r="F63" s="6" t="s">
        <v>40</v>
      </c>
      <c r="G63" s="4">
        <v>20</v>
      </c>
      <c r="H63" s="4" t="s">
        <v>18</v>
      </c>
      <c r="I63" s="4">
        <v>4</v>
      </c>
      <c r="J63" s="4">
        <v>20</v>
      </c>
      <c r="K63" s="4">
        <v>80</v>
      </c>
      <c r="L63" s="4">
        <v>50</v>
      </c>
      <c r="M63" s="4"/>
      <c r="N63" s="4"/>
      <c r="O63" s="4">
        <v>30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2" t="s">
        <v>185</v>
      </c>
      <c r="B64" s="9">
        <v>0.5180555555555556</v>
      </c>
      <c r="C64" s="3" t="s">
        <v>234</v>
      </c>
      <c r="D64" s="6" t="s">
        <v>235</v>
      </c>
      <c r="E64" s="6" t="s">
        <v>24</v>
      </c>
      <c r="F64" s="6" t="s">
        <v>25</v>
      </c>
      <c r="G64" s="4">
        <v>5</v>
      </c>
      <c r="H64" s="4" t="s">
        <v>18</v>
      </c>
      <c r="I64" s="4">
        <v>3</v>
      </c>
      <c r="J64" s="4">
        <v>5</v>
      </c>
      <c r="K64" s="4">
        <v>15</v>
      </c>
      <c r="L64" s="4">
        <v>7.5</v>
      </c>
      <c r="M64" s="4"/>
      <c r="N64" s="4"/>
      <c r="O64" s="4">
        <v>7.5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2" t="s">
        <v>185</v>
      </c>
      <c r="B65" s="9">
        <v>0.52152777777777781</v>
      </c>
      <c r="C65" s="3" t="s">
        <v>236</v>
      </c>
      <c r="D65" s="6" t="s">
        <v>237</v>
      </c>
      <c r="E65" s="6" t="s">
        <v>126</v>
      </c>
      <c r="F65" s="6" t="s">
        <v>127</v>
      </c>
      <c r="G65" s="4">
        <v>2380</v>
      </c>
      <c r="H65" s="4" t="s">
        <v>18</v>
      </c>
      <c r="I65" s="4">
        <v>1</v>
      </c>
      <c r="J65" s="4">
        <v>2380</v>
      </c>
      <c r="K65" s="4">
        <v>2380</v>
      </c>
      <c r="L65" s="4">
        <v>1488</v>
      </c>
      <c r="M65" s="4"/>
      <c r="N65" s="4"/>
      <c r="O65" s="4">
        <v>892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2" t="s">
        <v>185</v>
      </c>
      <c r="B66" s="9">
        <v>0.52847222222222223</v>
      </c>
      <c r="C66" s="3" t="s">
        <v>238</v>
      </c>
      <c r="D66" s="6" t="s">
        <v>239</v>
      </c>
      <c r="E66" s="6" t="s">
        <v>76</v>
      </c>
      <c r="F66" s="6" t="s">
        <v>77</v>
      </c>
      <c r="G66" s="4">
        <v>28.25</v>
      </c>
      <c r="H66" s="4" t="s">
        <v>18</v>
      </c>
      <c r="I66" s="4">
        <v>1</v>
      </c>
      <c r="J66" s="4">
        <v>28.25</v>
      </c>
      <c r="K66" s="4">
        <v>28.25</v>
      </c>
      <c r="L66" s="4">
        <v>21.73</v>
      </c>
      <c r="M66" s="4"/>
      <c r="N66" s="4"/>
      <c r="O66" s="4">
        <v>6.52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2" t="s">
        <v>185</v>
      </c>
      <c r="B67" s="9">
        <v>0.53263888888888888</v>
      </c>
      <c r="C67" s="3" t="s">
        <v>240</v>
      </c>
      <c r="D67" s="6" t="s">
        <v>241</v>
      </c>
      <c r="E67" s="6" t="s">
        <v>242</v>
      </c>
      <c r="F67" s="6" t="s">
        <v>243</v>
      </c>
      <c r="G67" s="4">
        <v>118</v>
      </c>
      <c r="H67" s="4" t="s">
        <v>18</v>
      </c>
      <c r="I67" s="4">
        <v>1</v>
      </c>
      <c r="J67" s="4">
        <v>118</v>
      </c>
      <c r="K67" s="4">
        <v>118</v>
      </c>
      <c r="L67" s="4">
        <v>89</v>
      </c>
      <c r="M67" s="4"/>
      <c r="N67" s="4"/>
      <c r="O67" s="4">
        <v>29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2" t="s">
        <v>185</v>
      </c>
      <c r="B68" s="9">
        <v>0.55208333333333337</v>
      </c>
      <c r="C68" s="3" t="s">
        <v>244</v>
      </c>
      <c r="D68" s="6" t="s">
        <v>245</v>
      </c>
      <c r="E68" s="6" t="s">
        <v>126</v>
      </c>
      <c r="F68" s="6" t="s">
        <v>127</v>
      </c>
      <c r="G68" s="4">
        <v>2380</v>
      </c>
      <c r="H68" s="4" t="s">
        <v>18</v>
      </c>
      <c r="I68" s="4">
        <v>2</v>
      </c>
      <c r="J68" s="4">
        <v>2380</v>
      </c>
      <c r="K68" s="4">
        <v>4760</v>
      </c>
      <c r="L68" s="4">
        <v>2976</v>
      </c>
      <c r="M68" s="4">
        <v>20</v>
      </c>
      <c r="N68" s="4">
        <v>952</v>
      </c>
      <c r="O68" s="4">
        <v>832</v>
      </c>
      <c r="P68" s="4" t="s">
        <v>19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2" t="s">
        <v>185</v>
      </c>
      <c r="B69" s="9">
        <v>0.56319444444444444</v>
      </c>
      <c r="C69" s="3" t="s">
        <v>246</v>
      </c>
      <c r="D69" s="6" t="s">
        <v>247</v>
      </c>
      <c r="E69" s="6" t="s">
        <v>92</v>
      </c>
      <c r="F69" s="6" t="s">
        <v>93</v>
      </c>
      <c r="G69" s="4">
        <v>25</v>
      </c>
      <c r="H69" s="4" t="s">
        <v>18</v>
      </c>
      <c r="I69" s="4">
        <v>4</v>
      </c>
      <c r="J69" s="4">
        <v>25</v>
      </c>
      <c r="K69" s="4">
        <v>100</v>
      </c>
      <c r="L69" s="4">
        <v>54.4</v>
      </c>
      <c r="M69" s="4"/>
      <c r="N69" s="4"/>
      <c r="O69" s="4">
        <v>45.6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2" t="s">
        <v>185</v>
      </c>
      <c r="B70" s="9">
        <v>0.57499999999999996</v>
      </c>
      <c r="C70" s="3" t="s">
        <v>248</v>
      </c>
      <c r="D70" s="6" t="s">
        <v>249</v>
      </c>
      <c r="E70" s="6" t="s">
        <v>104</v>
      </c>
      <c r="F70" s="6" t="s">
        <v>105</v>
      </c>
      <c r="G70" s="4">
        <v>17.88</v>
      </c>
      <c r="H70" s="4" t="s">
        <v>18</v>
      </c>
      <c r="I70" s="4">
        <v>10</v>
      </c>
      <c r="J70" s="4">
        <v>17.88</v>
      </c>
      <c r="K70" s="4">
        <v>178.8</v>
      </c>
      <c r="L70" s="4">
        <v>140</v>
      </c>
      <c r="M70" s="4"/>
      <c r="N70" s="4"/>
      <c r="O70" s="4">
        <v>38.799999999999997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2" t="s">
        <v>185</v>
      </c>
      <c r="B71" s="9">
        <v>0.57777777777777772</v>
      </c>
      <c r="C71" s="3" t="s">
        <v>250</v>
      </c>
      <c r="D71" s="6" t="s">
        <v>251</v>
      </c>
      <c r="E71" s="6" t="s">
        <v>252</v>
      </c>
      <c r="F71" s="6" t="s">
        <v>253</v>
      </c>
      <c r="G71" s="4">
        <v>3</v>
      </c>
      <c r="H71" s="4" t="s">
        <v>18</v>
      </c>
      <c r="I71" s="4">
        <v>60</v>
      </c>
      <c r="J71" s="4">
        <v>3</v>
      </c>
      <c r="K71" s="4">
        <v>180</v>
      </c>
      <c r="L71" s="4">
        <v>54</v>
      </c>
      <c r="M71" s="4"/>
      <c r="N71" s="4"/>
      <c r="O71" s="4">
        <v>126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2" t="s">
        <v>185</v>
      </c>
      <c r="B72" s="9">
        <v>0.57777777777777772</v>
      </c>
      <c r="C72" s="3" t="s">
        <v>250</v>
      </c>
      <c r="D72" s="6" t="s">
        <v>251</v>
      </c>
      <c r="E72" s="6" t="s">
        <v>108</v>
      </c>
      <c r="F72" s="6" t="s">
        <v>109</v>
      </c>
      <c r="G72" s="4">
        <v>28.98</v>
      </c>
      <c r="H72" s="4" t="s">
        <v>18</v>
      </c>
      <c r="I72" s="4">
        <v>60</v>
      </c>
      <c r="J72" s="4">
        <v>28.98</v>
      </c>
      <c r="K72" s="4">
        <v>1738.8</v>
      </c>
      <c r="L72" s="4">
        <v>1240.2</v>
      </c>
      <c r="M72" s="4"/>
      <c r="N72" s="4"/>
      <c r="O72" s="4">
        <v>498.6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2" t="s">
        <v>185</v>
      </c>
      <c r="B73" s="9">
        <v>0.58611111111111114</v>
      </c>
      <c r="C73" s="3" t="s">
        <v>254</v>
      </c>
      <c r="D73" s="6" t="s">
        <v>255</v>
      </c>
      <c r="E73" s="6" t="s">
        <v>232</v>
      </c>
      <c r="F73" s="6" t="s">
        <v>233</v>
      </c>
      <c r="G73" s="4">
        <v>40.450000000000003</v>
      </c>
      <c r="H73" s="4" t="s">
        <v>18</v>
      </c>
      <c r="I73" s="4">
        <v>20</v>
      </c>
      <c r="J73" s="4">
        <v>40.450000000000003</v>
      </c>
      <c r="K73" s="4">
        <v>809</v>
      </c>
      <c r="L73" s="4">
        <v>522.20000000000005</v>
      </c>
      <c r="M73" s="4"/>
      <c r="N73" s="4"/>
      <c r="O73" s="4">
        <v>286.8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2" t="s">
        <v>185</v>
      </c>
      <c r="B74" s="9">
        <v>0.61388888888888893</v>
      </c>
      <c r="C74" s="3" t="s">
        <v>256</v>
      </c>
      <c r="D74" s="6" t="s">
        <v>257</v>
      </c>
      <c r="E74" s="6" t="s">
        <v>74</v>
      </c>
      <c r="F74" s="6" t="s">
        <v>75</v>
      </c>
      <c r="G74" s="4">
        <v>7</v>
      </c>
      <c r="H74" s="4" t="s">
        <v>18</v>
      </c>
      <c r="I74" s="4">
        <v>10</v>
      </c>
      <c r="J74" s="4">
        <v>7</v>
      </c>
      <c r="K74" s="4">
        <v>70</v>
      </c>
      <c r="L74" s="4">
        <v>23.3</v>
      </c>
      <c r="M74" s="4"/>
      <c r="N74" s="4"/>
      <c r="O74" s="4">
        <v>46.7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2" t="s">
        <v>185</v>
      </c>
      <c r="B75" s="9">
        <v>0.6166666666666667</v>
      </c>
      <c r="C75" s="3" t="s">
        <v>258</v>
      </c>
      <c r="D75" s="6" t="s">
        <v>259</v>
      </c>
      <c r="E75" s="6" t="s">
        <v>33</v>
      </c>
      <c r="F75" s="6" t="s">
        <v>34</v>
      </c>
      <c r="G75" s="4">
        <v>14</v>
      </c>
      <c r="H75" s="4" t="s">
        <v>18</v>
      </c>
      <c r="I75" s="4">
        <v>1</v>
      </c>
      <c r="J75" s="4">
        <v>14</v>
      </c>
      <c r="K75" s="4">
        <v>14</v>
      </c>
      <c r="L75" s="4">
        <v>9.49</v>
      </c>
      <c r="M75" s="4"/>
      <c r="N75" s="4"/>
      <c r="O75" s="4">
        <v>4.51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2" t="s">
        <v>185</v>
      </c>
      <c r="B76" s="9">
        <v>0.61736111111111114</v>
      </c>
      <c r="C76" s="3" t="s">
        <v>260</v>
      </c>
      <c r="D76" s="6" t="s">
        <v>261</v>
      </c>
      <c r="E76" s="6" t="s">
        <v>262</v>
      </c>
      <c r="F76" s="6" t="s">
        <v>263</v>
      </c>
      <c r="G76" s="4">
        <v>30</v>
      </c>
      <c r="H76" s="4" t="s">
        <v>18</v>
      </c>
      <c r="I76" s="4">
        <v>1</v>
      </c>
      <c r="J76" s="4">
        <v>30</v>
      </c>
      <c r="K76" s="4">
        <v>30</v>
      </c>
      <c r="L76" s="4">
        <v>25.3</v>
      </c>
      <c r="M76" s="4"/>
      <c r="N76" s="4"/>
      <c r="O76" s="4">
        <v>4.7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2" t="s">
        <v>185</v>
      </c>
      <c r="B77" s="9">
        <v>0.6333333333333333</v>
      </c>
      <c r="C77" s="3" t="s">
        <v>264</v>
      </c>
      <c r="D77" s="6" t="s">
        <v>265</v>
      </c>
      <c r="E77" s="6" t="s">
        <v>55</v>
      </c>
      <c r="F77" s="6" t="s">
        <v>44</v>
      </c>
      <c r="G77" s="4">
        <v>15</v>
      </c>
      <c r="H77" s="4" t="s">
        <v>18</v>
      </c>
      <c r="I77" s="4">
        <v>3</v>
      </c>
      <c r="J77" s="4">
        <v>15</v>
      </c>
      <c r="K77" s="4">
        <v>45</v>
      </c>
      <c r="L77" s="4">
        <v>7.5</v>
      </c>
      <c r="M77" s="4"/>
      <c r="N77" s="4"/>
      <c r="O77" s="4">
        <v>37.5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2" t="s">
        <v>185</v>
      </c>
      <c r="B78" s="9">
        <v>0.63888888888888884</v>
      </c>
      <c r="C78" s="3" t="s">
        <v>266</v>
      </c>
      <c r="D78" s="6" t="s">
        <v>267</v>
      </c>
      <c r="E78" s="6" t="s">
        <v>33</v>
      </c>
      <c r="F78" s="6" t="s">
        <v>34</v>
      </c>
      <c r="G78" s="4">
        <v>14</v>
      </c>
      <c r="H78" s="4" t="s">
        <v>18</v>
      </c>
      <c r="I78" s="4">
        <v>1</v>
      </c>
      <c r="J78" s="4">
        <v>14</v>
      </c>
      <c r="K78" s="4">
        <v>14</v>
      </c>
      <c r="L78" s="4">
        <v>9.49</v>
      </c>
      <c r="M78" s="4"/>
      <c r="N78" s="4"/>
      <c r="O78" s="4">
        <v>4.51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2" t="s">
        <v>185</v>
      </c>
      <c r="B79" s="9">
        <v>0.64652777777777781</v>
      </c>
      <c r="C79" s="3" t="s">
        <v>268</v>
      </c>
      <c r="D79" s="6" t="s">
        <v>269</v>
      </c>
      <c r="E79" s="6" t="s">
        <v>116</v>
      </c>
      <c r="F79" s="6" t="s">
        <v>117</v>
      </c>
      <c r="G79" s="4">
        <v>8.49</v>
      </c>
      <c r="H79" s="4" t="s">
        <v>18</v>
      </c>
      <c r="I79" s="4">
        <v>10</v>
      </c>
      <c r="J79" s="4">
        <v>8.49</v>
      </c>
      <c r="K79" s="4">
        <v>84.9</v>
      </c>
      <c r="L79" s="4">
        <v>80</v>
      </c>
      <c r="M79" s="4"/>
      <c r="N79" s="4"/>
      <c r="O79" s="4">
        <v>4.9000000000000004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2" t="s">
        <v>185</v>
      </c>
      <c r="B80" s="9">
        <v>0.64722222222222225</v>
      </c>
      <c r="C80" s="3" t="s">
        <v>198</v>
      </c>
      <c r="D80" s="6" t="s">
        <v>199</v>
      </c>
      <c r="E80" s="6" t="s">
        <v>100</v>
      </c>
      <c r="F80" s="6" t="s">
        <v>101</v>
      </c>
      <c r="G80" s="4">
        <v>21.78</v>
      </c>
      <c r="H80" s="4" t="s">
        <v>18</v>
      </c>
      <c r="I80" s="4">
        <v>20</v>
      </c>
      <c r="J80" s="4">
        <v>21.78</v>
      </c>
      <c r="K80" s="4">
        <v>435.6</v>
      </c>
      <c r="L80" s="4">
        <v>335.4</v>
      </c>
      <c r="M80" s="4"/>
      <c r="N80" s="4"/>
      <c r="O80" s="4">
        <v>100.2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0AF8-A42D-49E7-896A-1DDB3E631BCD}">
  <dimension ref="B5:K6"/>
  <sheetViews>
    <sheetView zoomScale="90" zoomScaleNormal="90" workbookViewId="0">
      <selection activeCell="C6" sqref="C6:D6"/>
    </sheetView>
  </sheetViews>
  <sheetFormatPr defaultRowHeight="15" x14ac:dyDescent="0.25"/>
  <cols>
    <col min="2" max="2" width="22" bestFit="1" customWidth="1"/>
    <col min="3" max="3" width="12.140625" style="11" bestFit="1" customWidth="1"/>
    <col min="4" max="4" width="10" bestFit="1" customWidth="1"/>
    <col min="5" max="5" width="1.7109375" customWidth="1"/>
    <col min="6" max="6" width="12.85546875" bestFit="1" customWidth="1"/>
  </cols>
  <sheetData>
    <row r="5" spans="2:11" x14ac:dyDescent="0.25">
      <c r="B5" s="5" t="s">
        <v>340</v>
      </c>
      <c r="C5" s="11">
        <f>SUMIF(Sheet1!$R:$R,Sheet2!$B5,Sheet1!L:L)</f>
        <v>0</v>
      </c>
      <c r="D5" s="11">
        <f>SUMIF(Sheet1!$R:$R,Sheet2!$B5,Sheet1!O:O)</f>
        <v>0</v>
      </c>
      <c r="F5" s="13">
        <f>C5-D5</f>
        <v>0</v>
      </c>
      <c r="G5">
        <v>42446.09</v>
      </c>
      <c r="H5" s="12">
        <f>F5-G5</f>
        <v>-42446.09</v>
      </c>
      <c r="J5">
        <f>G5-514+443</f>
        <v>42375.09</v>
      </c>
      <c r="K5" s="12">
        <f>F5-J5</f>
        <v>-42375.09</v>
      </c>
    </row>
    <row r="6" spans="2:11" x14ac:dyDescent="0.25">
      <c r="B6" t="s">
        <v>339</v>
      </c>
      <c r="C6" s="11">
        <f>SUMIF(Sheet1!$R:$R,Sheet2!B6,Sheet1!L:L)</f>
        <v>0</v>
      </c>
      <c r="D6" s="11">
        <f>SUMIF(Sheet1!$R:$R,Sheet2!$B6,Sheet1!O:O)</f>
        <v>0</v>
      </c>
      <c r="F6" s="13">
        <f>C6-D6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Administrator</cp:lastModifiedBy>
  <cp:revision/>
  <dcterms:created xsi:type="dcterms:W3CDTF">2024-09-25T02:50:24Z</dcterms:created>
  <dcterms:modified xsi:type="dcterms:W3CDTF">2026-03-17T07:53:24Z</dcterms:modified>
  <cp:category/>
  <cp:contentStatus/>
</cp:coreProperties>
</file>